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threadedComments/threadedComment4.xml" ContentType="application/vnd.ms-excel.threadedcomments+xml"/>
  <Override PartName="/xl/metadata.xml" ContentType="application/vnd.openxmlformats-officedocument.spreadsheetml.sheetMetadata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ciones" sheetId="1" r:id="rId1"/>
    <sheet name="Reportes chatbot" sheetId="2" r:id="rId2"/>
    <sheet name="Mapa feed anual" sheetId="3" r:id="rId3"/>
    <sheet name="Mapa comunidad" sheetId="4" r:id="rId4"/>
    <sheet name="Dashboard" sheetId="5" r:id="rId5"/>
    <sheet name="Datos oficiales anuales" sheetId="6" r:id="rId6"/>
    <sheet name="2026 parcial" sheetId="7" r:id="rId7"/>
    <sheet name="Catalogos" sheetId="8" r:id="rId8"/>
    <sheet name="Fuentes y control" sheetId="9" r:id="rId9"/>
    <sheet name="Reportes Pepe" sheetId="10" r:id="rId10"/>
    <sheet name="Reportes" sheetId="11" r:id="rId11"/>
  </sheets>
</workbook>
</file>

<file path=xl/comments3.xml><?xml version="1.0" encoding="utf-8"?>
<comments xmlns="http://schemas.openxmlformats.org/spreadsheetml/2006/main">
  <authors>
    <author>Daniel</author>
    <author>tc={54EE7951-7262-4200-6969-000000000000}</author>
  </authors>
  <commentList>
    <comment ref="N4" authorId="1">
      <text>
        <t/>
      </text>
    </comment>
  </commentList>
</comments>
</file>

<file path=xl/comments4.xml><?xml version="1.0" encoding="utf-8"?>
<comments xmlns="http://schemas.openxmlformats.org/spreadsheetml/2006/main">
  <authors>
    <author>Daniel</author>
    <author>tc={54EE7951-7262-4200-6969-000000000001}</author>
  </authors>
  <commentList>
    <comment ref="C4" authorId="1">
      <text>
        <t/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56" formatCode="&quot;上午/下午 &quot;hh&quot;時&quot;mm&quot;分&quot;ss&quot;秒 &quot;"/>
    <numFmt numFmtId="200" formatCode="@"/>
    <numFmt numFmtId="201" formatCode="0"/>
    <numFmt numFmtId="202" formatCode="#,##0"/>
    <numFmt numFmtId="203" formatCode="#,##0.0"/>
    <numFmt numFmtId="204" formatCode="0.0"/>
    <numFmt numFmtId="205" formatCode="yyyy-mm-dd hh:mm"/>
    <numFmt numFmtId="206" formatCode="0.00000"/>
    <numFmt numFmtId="207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Relationship Id="rId15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eetJ5" id="{54EE7950-7262-4200-6969-000000000000}" userId="SheetJ5" providerId="None"/>
  <person displayName="Daniel" id="{54EE7950-7262-4200-6969-000000000001}" userId="Daniel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3.xml><?xml version="1.0" encoding="utf-8"?>
<ThreadedComments xmlns="http://schemas.microsoft.com/office/spreadsheetml/2018/threadedcomments">
  <threadedComment ref="N4" id="{54EE7951-7262-4200-6969-000000000000}" personId="{54EE7950-7262-4200-6969-000000000001}">
    <text>Cobertura territorial distrital del aÃÂÃÂÃÂÃÂÃÂÃÂÃÂÃÂÃÂÃÂÃÂÃÂÃÂÃÂÃÂÃÂ±o. En 2025 baja a 82,3%.</text>
  </threadedComment>
</ThreadedComments>
</file>

<file path=xl/threadedComments/threadedComment4.xml><?xml version="1.0" encoding="utf-8"?>
<ThreadedComments xmlns="http://schemas.microsoft.com/office/spreadsheetml/2018/threadedcomments">
  <threadedComment ref="C4" id="{54EE7951-7262-4200-6969-000000000001}" personId="{54EE7950-7262-4200-6969-000000000001}">
    <text>Solo reportes aprobados y con consentimiento; nunca modifica las cifras oficiales.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microsoft.com/office/2017/10/relationships/threadedComment" Target="../threadedComments/threadedComment3.xml"/><Relationship Id="rId3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Relationship Id="rId2" Type="http://schemas.microsoft.com/office/2017/10/relationships/threadedComment" Target="../threadedComments/threadedComment4.xml"/><Relationship Id="rId3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 rightToLeft="0"/>
  </sheetViews>
  <sheetData>
    <row r="1">
      <c r="A1" t="str">
        <v>Cómo usar el Excel anual y conectar el chatbot</v>
      </c>
    </row>
    <row r="3">
      <c r="A3" t="str">
        <v>Aplicación: leer “Mapa feed anual” para historia oficial y “Mapa comunidad” para reportes vivos. El chatbot solo escribe en “Reportes chatbot”.</v>
      </c>
    </row>
    <row r="5">
      <c r="A5" t="str">
        <v>Paso</v>
      </c>
      <c r="B5" t="str">
        <v>Acción</v>
      </c>
      <c r="D5" t="str">
        <v>Decisiones metodológicas</v>
      </c>
    </row>
    <row r="6">
      <c r="A6">
        <v>1</v>
      </c>
      <c r="B6" t="str">
        <v>Suba este XLSX a Google Drive y ábralo como Google Sheets.</v>
      </c>
      <c r="D6" t="str">
        <v>Indicador oficial</v>
      </c>
      <c r="E6" t="str">
        <v>Hurto a personas; no es solo hurto de celulares.</v>
      </c>
    </row>
    <row r="7">
      <c r="A7">
        <v>2</v>
      </c>
      <c r="B7" t="str">
        <v>Configure el chatbot para añadir filas en “Reportes chatbot” respetando los encabezados.</v>
      </c>
      <c r="D7" t="str">
        <v>Cobertura anual</v>
      </c>
      <c r="E7" t="str">
        <v>Enero–diciembre de 2018 a 2025.</v>
      </c>
    </row>
    <row r="8">
      <c r="A8">
        <v>3</v>
      </c>
      <c r="B8" t="str">
        <v>Todo registro nuevo entra con moderation_status = pending.</v>
      </c>
      <c r="D8" t="str">
        <v>2026</v>
      </c>
      <c r="E8" t="str">
        <v>Enero–mayo; referencia parcial separada.</v>
      </c>
    </row>
    <row r="9">
      <c r="A9">
        <v>4</v>
      </c>
      <c r="B9" t="str">
        <v>Solo approved + consent = si alimenta los agregados comunitarios.</v>
      </c>
      <c r="D9" t="str">
        <v>Incidentes 123</v>
      </c>
      <c r="E9" t="str">
        <v>Llamadas asociadas a hurto; no equivalen a denuncia.</v>
      </c>
    </row>
    <row r="10">
      <c r="A10">
        <v>5</v>
      </c>
      <c r="B10" t="str">
        <v>Use “Mapa feed anual” con filtro year para 2018–2025.</v>
      </c>
      <c r="D10" t="str">
        <v>Mapa recomendado</v>
      </c>
      <c r="E10" t="str">
        <v>2024 como vista territorial inicial por cobertura &gt;99%.</v>
      </c>
    </row>
    <row r="11">
      <c r="A11">
        <v>6</v>
      </c>
      <c r="B11" t="str">
        <v>Use “Mapa comunidad” para la capa viva; nunca exponga la pestaña privada.</v>
      </c>
      <c r="D11" t="str">
        <v>Mapa 2025</v>
      </c>
      <c r="E11" t="str">
        <v>Permitido con alerta visible de cobertura 82,3%.</v>
      </c>
    </row>
    <row r="12">
      <c r="A12">
        <v>7</v>
      </c>
      <c r="B12" t="str">
        <v>No mezcle la tabla “2026 parcial” con los totales anuales.</v>
      </c>
      <c r="D12" t="str">
        <v>Comunidad</v>
      </c>
      <c r="E12" t="str">
        <v>Nunca se suma a las cifras oficiales.</v>
      </c>
    </row>
    <row r="13">
      <c r="D13" t="str">
        <v>Privacidad</v>
      </c>
      <c r="E13" t="str">
        <v>No publicar direcciones, relatos, coordenadas ni teléfono.</v>
      </c>
    </row>
  </sheetData>
  <mergeCells count="3">
    <mergeCell ref="A1:H1"/>
    <mergeCell ref="A3:H3"/>
    <mergeCell ref="D5:H5"/>
  </mergeCells>
  <pageMargins left="0.7" right="0.7" top="0.75" bottom="0.75" header="0.3" footer="0.3"/>
  <ignoredErrors>
    <ignoredError numberStoredAsText="1" sqref="A1:E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004"/>
  <sheetViews>
    <sheetView workbookViewId="0" rightToLeft="0"/>
  </sheetViews>
  <sheetData>
    <row r="1">
      <c r="A1" t="str">
        <v>Entrada privada del chatbot · máximo 5.000 registros</v>
      </c>
    </row>
    <row r="2">
      <c r="A2" t="str">
        <v>El bot añade una fila por evento. Solo approved + consent = si alimenta las capas comunitarias. No publique esta pestaña.</v>
      </c>
    </row>
    <row r="4">
      <c r="A4" t="str">
        <v>report_id</v>
      </c>
      <c r="B4" t="str">
        <v>received_at</v>
      </c>
      <c r="C4" t="str">
        <v>event_at</v>
      </c>
      <c r="D4" t="str">
        <v>locality_code</v>
      </c>
      <c r="E4" t="str">
        <v>event_type</v>
      </c>
      <c r="F4" t="str">
        <v>stolen_item_category</v>
      </c>
      <c r="G4" t="str">
        <v>modality</v>
      </c>
      <c r="H4" t="str">
        <v>weapon_type</v>
      </c>
      <c r="I4" t="str">
        <v>latitude_private</v>
      </c>
      <c r="J4" t="str">
        <v>longitude_private</v>
      </c>
      <c r="K4" t="str">
        <v>address_private</v>
      </c>
      <c r="L4" t="str">
        <v>description_private</v>
      </c>
      <c r="M4" t="str">
        <v>source</v>
      </c>
      <c r="N4" t="str">
        <v>moderation_status</v>
      </c>
      <c r="O4" t="str">
        <v>consent</v>
      </c>
      <c r="P4" t="str">
        <v>consent_at</v>
      </c>
      <c r="Q4" t="str">
        <v>phone_hash</v>
      </c>
      <c r="R4" t="str">
        <v>review_notes_private</v>
      </c>
    </row>
  </sheetData>
  <mergeCells count="2">
    <mergeCell ref="A1:R1"/>
    <mergeCell ref="A2:R2"/>
  </mergeCells>
  <pageMargins left="0.7" right="0.7" top="0.75" bottom="0.75" header="0.3" footer="0.3"/>
  <ignoredErrors>
    <ignoredError numberStoredAsText="1" sqref="A1:R500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164"/>
  <sheetViews>
    <sheetView workbookViewId="0" rightToLeft="0"/>
  </sheetViews>
  <sheetData>
    <row r="1">
      <c r="A1" t="str">
        <v>Feed anual del mapa · 2018–2025</v>
      </c>
    </row>
    <row r="2">
      <c r="A2" t="str">
        <v>Filtro recomendado: year. 2025 debe mostrar advertencia porque solo 82,3% de los hurtos tiene localidad asignada.</v>
      </c>
    </row>
    <row r="4">
      <c r="A4" t="str">
        <v>year</v>
      </c>
      <c r="B4" t="str">
        <v>locality_code</v>
      </c>
      <c r="C4" t="str">
        <v>locality_name</v>
      </c>
      <c r="D4" t="str">
        <v>official_thefts</v>
      </c>
      <c r="E4" t="str">
        <v>official_incidents_123</v>
      </c>
      <c r="F4" t="str">
        <v>population</v>
      </c>
      <c r="G4" t="str">
        <v>theft_rate_per_100k</v>
      </c>
      <c r="H4" t="str">
        <v>incident_rate_per_100k</v>
      </c>
      <c r="I4" t="str">
        <v>incidents_per_theft</v>
      </c>
      <c r="J4" t="str">
        <v>count_rank</v>
      </c>
      <c r="K4" t="str">
        <v>rate_rank</v>
      </c>
      <c r="L4" t="str">
        <v>theft_yoy_pct</v>
      </c>
      <c r="M4" t="str">
        <v>incident_yoy_pct</v>
      </c>
      <c r="N4" t="str">
        <v>district_mapped_coverage_pct</v>
      </c>
      <c r="O4" t="str">
        <v>coverage</v>
      </c>
      <c r="P4" t="str">
        <v>community_approved_same_year</v>
      </c>
    </row>
    <row r="5">
      <c r="A5">
        <v>2018</v>
      </c>
      <c r="B5" t="str">
        <v>01</v>
      </c>
      <c r="C5" t="str">
        <v>Usaquén</v>
      </c>
      <c r="D5">
        <v>9117</v>
      </c>
      <c r="E5">
        <v>11415</v>
      </c>
      <c r="F5">
        <v>534118</v>
      </c>
      <c r="G5">
        <v>1706.926185</v>
      </c>
      <c r="H5">
        <v>2137.168191</v>
      </c>
      <c r="I5">
        <v>1.2520565975649884</v>
      </c>
      <c r="J5">
        <v>5</v>
      </c>
      <c r="K5">
        <v>9</v>
      </c>
      <c r="N5">
        <v>1</v>
      </c>
      <c r="O5" t="str">
        <v>full_year</v>
      </c>
      <c r="P5">
        <f>COUNTIFS('Reportes chatbot'!$D$5:$D$5004,$B5,'Reportes chatbot'!$N$5:$N$5004,"approved",'Reportes chatbot'!$O$5:$O$5004,"si",'Reportes chatbot'!$C$5:$C$5004,"&gt;="&amp;DATE($A5,1,1),'Reportes chatbot'!$C$5:$C$5004,"&lt;"&amp;DATE($A5+1,1,1))</f>
        <v>0</v>
      </c>
    </row>
    <row r="6">
      <c r="A6">
        <v>2018</v>
      </c>
      <c r="B6" t="str">
        <v>02</v>
      </c>
      <c r="C6" t="str">
        <v>Chapinero</v>
      </c>
      <c r="D6">
        <v>10204</v>
      </c>
      <c r="E6">
        <v>6851</v>
      </c>
      <c r="F6">
        <v>156010</v>
      </c>
      <c r="G6">
        <v>6540.606371</v>
      </c>
      <c r="H6">
        <v>4391.385168</v>
      </c>
      <c r="I6">
        <v>0.6714033712269698</v>
      </c>
      <c r="J6">
        <v>3</v>
      </c>
      <c r="K6">
        <v>3</v>
      </c>
      <c r="N6">
        <v>1</v>
      </c>
      <c r="O6" t="str">
        <v>full_year</v>
      </c>
      <c r="P6">
        <f>COUNTIFS('Reportes chatbot'!$D$5:$D$5004,$B6,'Reportes chatbot'!$N$5:$N$5004,"approved",'Reportes chatbot'!$O$5:$O$5004,"si",'Reportes chatbot'!$C$5:$C$5004,"&gt;="&amp;DATE($A6,1,1),'Reportes chatbot'!$C$5:$C$5004,"&lt;"&amp;DATE($A6+1,1,1))</f>
        <v>0</v>
      </c>
    </row>
    <row r="7">
      <c r="A7">
        <v>2018</v>
      </c>
      <c r="B7" t="str">
        <v>03</v>
      </c>
      <c r="C7" t="str">
        <v>Santa Fe</v>
      </c>
      <c r="D7">
        <v>7228</v>
      </c>
      <c r="E7">
        <v>5233</v>
      </c>
      <c r="F7">
        <v>103640</v>
      </c>
      <c r="G7">
        <v>6974.141258</v>
      </c>
      <c r="H7">
        <v>5049.2088</v>
      </c>
      <c r="I7">
        <v>0.7239900387382402</v>
      </c>
      <c r="J7">
        <v>6</v>
      </c>
      <c r="K7">
        <v>2</v>
      </c>
      <c r="N7">
        <v>1</v>
      </c>
      <c r="O7" t="str">
        <v>full_year</v>
      </c>
      <c r="P7">
        <f>COUNTIFS('Reportes chatbot'!$D$5:$D$5004,$B7,'Reportes chatbot'!$N$5:$N$5004,"approved",'Reportes chatbot'!$O$5:$O$5004,"si",'Reportes chatbot'!$C$5:$C$5004,"&gt;="&amp;DATE($A7,1,1),'Reportes chatbot'!$C$5:$C$5004,"&lt;"&amp;DATE($A7+1,1,1))</f>
        <v>0</v>
      </c>
    </row>
    <row r="8">
      <c r="A8">
        <v>2018</v>
      </c>
      <c r="B8" t="str">
        <v>04</v>
      </c>
      <c r="C8" t="str">
        <v>San Cristóbal</v>
      </c>
      <c r="D8">
        <v>2343</v>
      </c>
      <c r="E8">
        <v>6019</v>
      </c>
      <c r="F8">
        <v>384392</v>
      </c>
      <c r="G8">
        <v>609.534017</v>
      </c>
      <c r="H8">
        <v>1565.849445</v>
      </c>
      <c r="I8">
        <v>2.5689287238583014</v>
      </c>
      <c r="J8">
        <v>15</v>
      </c>
      <c r="K8">
        <v>17</v>
      </c>
      <c r="N8">
        <v>1</v>
      </c>
      <c r="O8" t="str">
        <v>full_year</v>
      </c>
      <c r="P8">
        <f>COUNTIFS('Reportes chatbot'!$D$5:$D$5004,$B8,'Reportes chatbot'!$N$5:$N$5004,"approved",'Reportes chatbot'!$O$5:$O$5004,"si",'Reportes chatbot'!$C$5:$C$5004,"&gt;="&amp;DATE($A8,1,1),'Reportes chatbot'!$C$5:$C$5004,"&lt;"&amp;DATE($A8+1,1,1))</f>
        <v>0</v>
      </c>
    </row>
    <row r="9">
      <c r="A9">
        <v>2018</v>
      </c>
      <c r="B9" t="str">
        <v>05</v>
      </c>
      <c r="C9" t="str">
        <v>Usme</v>
      </c>
      <c r="D9">
        <v>1854</v>
      </c>
      <c r="E9">
        <v>4266</v>
      </c>
      <c r="F9">
        <v>362295</v>
      </c>
      <c r="G9">
        <v>511.737672</v>
      </c>
      <c r="H9">
        <v>1177.493479</v>
      </c>
      <c r="I9">
        <v>2.3009708737864076</v>
      </c>
      <c r="J9">
        <v>17</v>
      </c>
      <c r="K9">
        <v>19</v>
      </c>
      <c r="N9">
        <v>1</v>
      </c>
      <c r="O9" t="str">
        <v>full_year</v>
      </c>
      <c r="P9">
        <f>COUNTIFS('Reportes chatbot'!$D$5:$D$5004,$B9,'Reportes chatbot'!$N$5:$N$5004,"approved",'Reportes chatbot'!$O$5:$O$5004,"si",'Reportes chatbot'!$C$5:$C$5004,"&gt;="&amp;DATE($A9,1,1),'Reportes chatbot'!$C$5:$C$5004,"&lt;"&amp;DATE($A9+1,1,1))</f>
        <v>0</v>
      </c>
    </row>
    <row r="10">
      <c r="A10">
        <v>2018</v>
      </c>
      <c r="B10" t="str">
        <v>06</v>
      </c>
      <c r="C10" t="str">
        <v>Tunjuelito</v>
      </c>
      <c r="D10">
        <v>2181</v>
      </c>
      <c r="E10">
        <v>3734</v>
      </c>
      <c r="F10">
        <v>171130</v>
      </c>
      <c r="G10">
        <v>1274.469701</v>
      </c>
      <c r="H10">
        <v>2181.966926</v>
      </c>
      <c r="I10">
        <v>1.7120586886749198</v>
      </c>
      <c r="J10">
        <v>16</v>
      </c>
      <c r="K10">
        <v>11</v>
      </c>
      <c r="N10">
        <v>1</v>
      </c>
      <c r="O10" t="str">
        <v>full_year</v>
      </c>
      <c r="P10">
        <f>COUNTIFS('Reportes chatbot'!$D$5:$D$5004,$B10,'Reportes chatbot'!$N$5:$N$5004,"approved",'Reportes chatbot'!$O$5:$O$5004,"si",'Reportes chatbot'!$C$5:$C$5004,"&gt;="&amp;DATE($A10,1,1),'Reportes chatbot'!$C$5:$C$5004,"&lt;"&amp;DATE($A10+1,1,1))</f>
        <v>0</v>
      </c>
    </row>
    <row r="11">
      <c r="A11">
        <v>2018</v>
      </c>
      <c r="B11" t="str">
        <v>07</v>
      </c>
      <c r="C11" t="str">
        <v>Bosa</v>
      </c>
      <c r="D11">
        <v>4340</v>
      </c>
      <c r="E11">
        <v>10223</v>
      </c>
      <c r="F11">
        <v>692418</v>
      </c>
      <c r="G11">
        <v>626.789021</v>
      </c>
      <c r="H11">
        <v>1476.420313</v>
      </c>
      <c r="I11">
        <v>2.355529953917051</v>
      </c>
      <c r="J11">
        <v>12</v>
      </c>
      <c r="K11">
        <v>16</v>
      </c>
      <c r="N11">
        <v>1</v>
      </c>
      <c r="O11" t="str">
        <v>full_year</v>
      </c>
      <c r="P11">
        <f>COUNTIFS('Reportes chatbot'!$D$5:$D$5004,$B11,'Reportes chatbot'!$N$5:$N$5004,"approved",'Reportes chatbot'!$O$5:$O$5004,"si",'Reportes chatbot'!$C$5:$C$5004,"&gt;="&amp;DATE($A11,1,1),'Reportes chatbot'!$C$5:$C$5004,"&lt;"&amp;DATE($A11+1,1,1))</f>
        <v>0</v>
      </c>
    </row>
    <row r="12">
      <c r="A12">
        <v>2018</v>
      </c>
      <c r="B12" t="str">
        <v>08</v>
      </c>
      <c r="C12" t="str">
        <v>Kennedy</v>
      </c>
      <c r="D12">
        <v>11081</v>
      </c>
      <c r="E12">
        <v>20184</v>
      </c>
      <c r="F12">
        <v>1016834</v>
      </c>
      <c r="G12">
        <v>1089.755063</v>
      </c>
      <c r="H12">
        <v>1984.984766</v>
      </c>
      <c r="I12">
        <v>1.8214962548506453</v>
      </c>
      <c r="J12">
        <v>1</v>
      </c>
      <c r="K12">
        <v>13</v>
      </c>
      <c r="N12">
        <v>1</v>
      </c>
      <c r="O12" t="str">
        <v>full_year</v>
      </c>
      <c r="P12">
        <f>COUNTIFS('Reportes chatbot'!$D$5:$D$5004,$B12,'Reportes chatbot'!$N$5:$N$5004,"approved",'Reportes chatbot'!$O$5:$O$5004,"si",'Reportes chatbot'!$C$5:$C$5004,"&gt;="&amp;DATE($A12,1,1),'Reportes chatbot'!$C$5:$C$5004,"&lt;"&amp;DATE($A12+1,1,1))</f>
        <v>0</v>
      </c>
    </row>
    <row r="13">
      <c r="A13">
        <v>2018</v>
      </c>
      <c r="B13" t="str">
        <v>09</v>
      </c>
      <c r="C13" t="str">
        <v>Fontibón</v>
      </c>
      <c r="D13">
        <v>6204</v>
      </c>
      <c r="E13">
        <v>6232</v>
      </c>
      <c r="F13">
        <v>364832</v>
      </c>
      <c r="G13">
        <v>1700.508727</v>
      </c>
      <c r="H13">
        <v>1708.183493</v>
      </c>
      <c r="I13">
        <v>1.0045132172791746</v>
      </c>
      <c r="J13">
        <v>8</v>
      </c>
      <c r="K13">
        <v>10</v>
      </c>
      <c r="N13">
        <v>1</v>
      </c>
      <c r="O13" t="str">
        <v>full_year</v>
      </c>
      <c r="P13">
        <f>COUNTIFS('Reportes chatbot'!$D$5:$D$5004,$B13,'Reportes chatbot'!$N$5:$N$5004,"approved",'Reportes chatbot'!$O$5:$O$5004,"si",'Reportes chatbot'!$C$5:$C$5004,"&gt;="&amp;DATE($A13,1,1),'Reportes chatbot'!$C$5:$C$5004,"&lt;"&amp;DATE($A13+1,1,1))</f>
        <v>0</v>
      </c>
    </row>
    <row r="14">
      <c r="A14">
        <v>2018</v>
      </c>
      <c r="B14" t="str">
        <v>10</v>
      </c>
      <c r="C14" t="str">
        <v>Engativá</v>
      </c>
      <c r="D14">
        <v>9667</v>
      </c>
      <c r="E14">
        <v>15458</v>
      </c>
      <c r="F14">
        <v>790205</v>
      </c>
      <c r="G14">
        <v>1223.353434</v>
      </c>
      <c r="H14">
        <v>1956.201239</v>
      </c>
      <c r="I14">
        <v>1.599048308679011</v>
      </c>
      <c r="J14">
        <v>4</v>
      </c>
      <c r="K14">
        <v>12</v>
      </c>
      <c r="N14">
        <v>1</v>
      </c>
      <c r="O14" t="str">
        <v>full_year</v>
      </c>
      <c r="P14">
        <f>COUNTIFS('Reportes chatbot'!$D$5:$D$5004,$B14,'Reportes chatbot'!$N$5:$N$5004,"approved",'Reportes chatbot'!$O$5:$O$5004,"si",'Reportes chatbot'!$C$5:$C$5004,"&gt;="&amp;DATE($A14,1,1),'Reportes chatbot'!$C$5:$C$5004,"&lt;"&amp;DATE($A14+1,1,1))</f>
        <v>0</v>
      </c>
    </row>
    <row r="15">
      <c r="A15">
        <v>2018</v>
      </c>
      <c r="B15" t="str">
        <v>11</v>
      </c>
      <c r="C15" t="str">
        <v>Suba</v>
      </c>
      <c r="D15">
        <v>10971</v>
      </c>
      <c r="E15">
        <v>18051</v>
      </c>
      <c r="F15">
        <v>1149099</v>
      </c>
      <c r="G15">
        <v>954.748024</v>
      </c>
      <c r="H15">
        <v>1570.882927</v>
      </c>
      <c r="I15">
        <v>1.6453377085042384</v>
      </c>
      <c r="J15">
        <v>2</v>
      </c>
      <c r="K15">
        <v>14</v>
      </c>
      <c r="N15">
        <v>1</v>
      </c>
      <c r="O15" t="str">
        <v>full_year</v>
      </c>
      <c r="P15">
        <f>COUNTIFS('Reportes chatbot'!$D$5:$D$5004,$B15,'Reportes chatbot'!$N$5:$N$5004,"approved",'Reportes chatbot'!$O$5:$O$5004,"si",'Reportes chatbot'!$C$5:$C$5004,"&gt;="&amp;DATE($A15,1,1),'Reportes chatbot'!$C$5:$C$5004,"&lt;"&amp;DATE($A15+1,1,1))</f>
        <v>0</v>
      </c>
    </row>
    <row r="16">
      <c r="A16">
        <v>2018</v>
      </c>
      <c r="B16" t="str">
        <v>12</v>
      </c>
      <c r="C16" t="str">
        <v>Barrios Unidos</v>
      </c>
      <c r="D16">
        <v>4572</v>
      </c>
      <c r="E16">
        <v>5158</v>
      </c>
      <c r="F16">
        <v>132784</v>
      </c>
      <c r="G16">
        <v>3443.185926</v>
      </c>
      <c r="H16">
        <v>3884.504157</v>
      </c>
      <c r="I16">
        <v>1.1281714785651793</v>
      </c>
      <c r="J16">
        <v>10</v>
      </c>
      <c r="K16">
        <v>6</v>
      </c>
      <c r="N16">
        <v>1</v>
      </c>
      <c r="O16" t="str">
        <v>full_year</v>
      </c>
      <c r="P16">
        <f>COUNTIFS('Reportes chatbot'!$D$5:$D$5004,$B16,'Reportes chatbot'!$N$5:$N$5004,"approved",'Reportes chatbot'!$O$5:$O$5004,"si",'Reportes chatbot'!$C$5:$C$5004,"&gt;="&amp;DATE($A16,1,1),'Reportes chatbot'!$C$5:$C$5004,"&lt;"&amp;DATE($A16+1,1,1))</f>
        <v>0</v>
      </c>
    </row>
    <row r="17">
      <c r="A17">
        <v>2018</v>
      </c>
      <c r="B17" t="str">
        <v>13</v>
      </c>
      <c r="C17" t="str">
        <v>Teusaquillo</v>
      </c>
      <c r="D17">
        <v>6976</v>
      </c>
      <c r="E17">
        <v>5419</v>
      </c>
      <c r="F17">
        <v>144122</v>
      </c>
      <c r="G17">
        <v>4840.343598</v>
      </c>
      <c r="H17">
        <v>3760.008881</v>
      </c>
      <c r="I17">
        <v>0.7768061926605505</v>
      </c>
      <c r="J17">
        <v>7</v>
      </c>
      <c r="K17">
        <v>5</v>
      </c>
      <c r="N17">
        <v>1</v>
      </c>
      <c r="O17" t="str">
        <v>full_year</v>
      </c>
      <c r="P17">
        <f>COUNTIFS('Reportes chatbot'!$D$5:$D$5004,$B17,'Reportes chatbot'!$N$5:$N$5004,"approved",'Reportes chatbot'!$O$5:$O$5004,"si",'Reportes chatbot'!$C$5:$C$5004,"&gt;="&amp;DATE($A17,1,1),'Reportes chatbot'!$C$5:$C$5004,"&lt;"&amp;DATE($A17+1,1,1))</f>
        <v>0</v>
      </c>
    </row>
    <row r="18">
      <c r="A18">
        <v>2018</v>
      </c>
      <c r="B18" t="str">
        <v>14</v>
      </c>
      <c r="C18" t="str">
        <v>Los Mártires</v>
      </c>
      <c r="D18">
        <v>4412</v>
      </c>
      <c r="E18">
        <v>4705</v>
      </c>
      <c r="F18">
        <v>73076</v>
      </c>
      <c r="G18">
        <v>6037.549948</v>
      </c>
      <c r="H18">
        <v>6438.502381</v>
      </c>
      <c r="I18">
        <v>1.066409791477788</v>
      </c>
      <c r="J18">
        <v>11</v>
      </c>
      <c r="K18">
        <v>4</v>
      </c>
      <c r="N18">
        <v>1</v>
      </c>
      <c r="O18" t="str">
        <v>full_year</v>
      </c>
      <c r="P18">
        <f>COUNTIFS('Reportes chatbot'!$D$5:$D$5004,$B18,'Reportes chatbot'!$N$5:$N$5004,"approved",'Reportes chatbot'!$O$5:$O$5004,"si",'Reportes chatbot'!$C$5:$C$5004,"&gt;="&amp;DATE($A18,1,1),'Reportes chatbot'!$C$5:$C$5004,"&lt;"&amp;DATE($A18+1,1,1))</f>
        <v>0</v>
      </c>
    </row>
    <row r="19">
      <c r="A19">
        <v>2018</v>
      </c>
      <c r="B19" t="str">
        <v>15</v>
      </c>
      <c r="C19" t="str">
        <v>Antonio Nariño</v>
      </c>
      <c r="D19">
        <v>1804</v>
      </c>
      <c r="E19">
        <v>2707</v>
      </c>
      <c r="F19">
        <v>79011</v>
      </c>
      <c r="G19">
        <v>2283.226386</v>
      </c>
      <c r="H19">
        <v>3426.105226</v>
      </c>
      <c r="I19">
        <v>1.5005543237250554</v>
      </c>
      <c r="J19">
        <v>18</v>
      </c>
      <c r="K19">
        <v>7</v>
      </c>
      <c r="N19">
        <v>1</v>
      </c>
      <c r="O19" t="str">
        <v>full_year</v>
      </c>
      <c r="P19">
        <f>COUNTIFS('Reportes chatbot'!$D$5:$D$5004,$B19,'Reportes chatbot'!$N$5:$N$5004,"approved",'Reportes chatbot'!$O$5:$O$5004,"si",'Reportes chatbot'!$C$5:$C$5004,"&gt;="&amp;DATE($A19,1,1),'Reportes chatbot'!$C$5:$C$5004,"&lt;"&amp;DATE($A19+1,1,1))</f>
        <v>0</v>
      </c>
    </row>
    <row r="20">
      <c r="A20">
        <v>2018</v>
      </c>
      <c r="B20" t="str">
        <v>16</v>
      </c>
      <c r="C20" t="str">
        <v>Puente Aranda</v>
      </c>
      <c r="D20">
        <v>4761</v>
      </c>
      <c r="E20">
        <v>8062</v>
      </c>
      <c r="F20">
        <v>242184</v>
      </c>
      <c r="G20">
        <v>1965.860668</v>
      </c>
      <c r="H20">
        <v>3328.873914</v>
      </c>
      <c r="I20">
        <v>1.6933417349296367</v>
      </c>
      <c r="J20">
        <v>9</v>
      </c>
      <c r="K20">
        <v>8</v>
      </c>
      <c r="N20">
        <v>1</v>
      </c>
      <c r="O20" t="str">
        <v>full_year</v>
      </c>
      <c r="P20">
        <f>COUNTIFS('Reportes chatbot'!$D$5:$D$5004,$B20,'Reportes chatbot'!$N$5:$N$5004,"approved",'Reportes chatbot'!$O$5:$O$5004,"si",'Reportes chatbot'!$C$5:$C$5004,"&gt;="&amp;DATE($A20,1,1),'Reportes chatbot'!$C$5:$C$5004,"&lt;"&amp;DATE($A20+1,1,1))</f>
        <v>0</v>
      </c>
    </row>
    <row r="21">
      <c r="A21">
        <v>2018</v>
      </c>
      <c r="B21" t="str">
        <v>17</v>
      </c>
      <c r="C21" t="str">
        <v>La Candelaria</v>
      </c>
      <c r="D21">
        <v>1573</v>
      </c>
      <c r="E21">
        <v>912</v>
      </c>
      <c r="F21">
        <v>17018</v>
      </c>
      <c r="G21">
        <v>9243.154307</v>
      </c>
      <c r="H21">
        <v>5359.031614</v>
      </c>
      <c r="I21">
        <v>0.5797838525111252</v>
      </c>
      <c r="J21">
        <v>19</v>
      </c>
      <c r="K21">
        <v>1</v>
      </c>
      <c r="N21">
        <v>1</v>
      </c>
      <c r="O21" t="str">
        <v>full_year</v>
      </c>
      <c r="P21">
        <f>COUNTIFS('Reportes chatbot'!$D$5:$D$5004,$B21,'Reportes chatbot'!$N$5:$N$5004,"approved",'Reportes chatbot'!$O$5:$O$5004,"si",'Reportes chatbot'!$C$5:$C$5004,"&gt;="&amp;DATE($A21,1,1),'Reportes chatbot'!$C$5:$C$5004,"&lt;"&amp;DATE($A21+1,1,1))</f>
        <v>0</v>
      </c>
    </row>
    <row r="22">
      <c r="A22">
        <v>2018</v>
      </c>
      <c r="B22" t="str">
        <v>18</v>
      </c>
      <c r="C22" t="str">
        <v>Rafael Uribe Uribe</v>
      </c>
      <c r="D22">
        <v>3347</v>
      </c>
      <c r="E22">
        <v>7067</v>
      </c>
      <c r="F22">
        <v>363471</v>
      </c>
      <c r="G22">
        <v>920.843754</v>
      </c>
      <c r="H22">
        <v>1944.309175</v>
      </c>
      <c r="I22">
        <v>2.1114430833582314</v>
      </c>
      <c r="J22">
        <v>13</v>
      </c>
      <c r="K22">
        <v>15</v>
      </c>
      <c r="N22">
        <v>1</v>
      </c>
      <c r="O22" t="str">
        <v>full_year</v>
      </c>
      <c r="P22">
        <f>COUNTIFS('Reportes chatbot'!$D$5:$D$5004,$B22,'Reportes chatbot'!$N$5:$N$5004,"approved",'Reportes chatbot'!$O$5:$O$5004,"si",'Reportes chatbot'!$C$5:$C$5004,"&gt;="&amp;DATE($A22,1,1),'Reportes chatbot'!$C$5:$C$5004,"&lt;"&amp;DATE($A22+1,1,1))</f>
        <v>0</v>
      </c>
    </row>
    <row r="23">
      <c r="A23">
        <v>2018</v>
      </c>
      <c r="B23" t="str">
        <v>19</v>
      </c>
      <c r="C23" t="str">
        <v>Ciudad Bolívar</v>
      </c>
      <c r="D23">
        <v>3305</v>
      </c>
      <c r="E23">
        <v>9458</v>
      </c>
      <c r="F23">
        <v>611245</v>
      </c>
      <c r="G23">
        <v>540.699719</v>
      </c>
      <c r="H23">
        <v>1547.333721</v>
      </c>
      <c r="I23">
        <v>2.8617246596066566</v>
      </c>
      <c r="J23">
        <v>14</v>
      </c>
      <c r="K23">
        <v>18</v>
      </c>
      <c r="N23">
        <v>1</v>
      </c>
      <c r="O23" t="str">
        <v>full_year</v>
      </c>
      <c r="P23">
        <f>COUNTIFS('Reportes chatbot'!$D$5:$D$5004,$B23,'Reportes chatbot'!$N$5:$N$5004,"approved",'Reportes chatbot'!$O$5:$O$5004,"si",'Reportes chatbot'!$C$5:$C$5004,"&gt;="&amp;DATE($A23,1,1),'Reportes chatbot'!$C$5:$C$5004,"&lt;"&amp;DATE($A23+1,1,1))</f>
        <v>0</v>
      </c>
    </row>
    <row r="24">
      <c r="A24">
        <v>2018</v>
      </c>
      <c r="B24" t="str">
        <v>20</v>
      </c>
      <c r="C24" t="str">
        <v>Sumapaz</v>
      </c>
      <c r="D24">
        <v>3</v>
      </c>
      <c r="E24">
        <v>0</v>
      </c>
      <c r="F24">
        <v>3172</v>
      </c>
      <c r="G24">
        <v>94.577554</v>
      </c>
      <c r="H24">
        <v>0</v>
      </c>
      <c r="I24">
        <v>0</v>
      </c>
      <c r="J24">
        <v>20</v>
      </c>
      <c r="K24">
        <v>20</v>
      </c>
      <c r="N24">
        <v>1</v>
      </c>
      <c r="O24" t="str">
        <v>full_year</v>
      </c>
      <c r="P24">
        <f>COUNTIFS('Reportes chatbot'!$D$5:$D$5004,$B24,'Reportes chatbot'!$N$5:$N$5004,"approved",'Reportes chatbot'!$O$5:$O$5004,"si",'Reportes chatbot'!$C$5:$C$5004,"&gt;="&amp;DATE($A24,1,1),'Reportes chatbot'!$C$5:$C$5004,"&lt;"&amp;DATE($A24+1,1,1))</f>
        <v>0</v>
      </c>
    </row>
    <row r="25">
      <c r="A25">
        <v>2019</v>
      </c>
      <c r="B25" t="str">
        <v>01</v>
      </c>
      <c r="C25" t="str">
        <v>Usaquén</v>
      </c>
      <c r="D25">
        <v>10806</v>
      </c>
      <c r="E25">
        <v>10966</v>
      </c>
      <c r="F25">
        <v>556257</v>
      </c>
      <c r="G25">
        <v>1942.627239</v>
      </c>
      <c r="H25">
        <v>1971.390922</v>
      </c>
      <c r="I25">
        <v>1.0148065889320748</v>
      </c>
      <c r="J25">
        <v>5</v>
      </c>
      <c r="K25">
        <v>10</v>
      </c>
      <c r="L25">
        <v>18.525831</v>
      </c>
      <c r="M25">
        <v>-3.933421</v>
      </c>
      <c r="N25">
        <v>0.9996792600000001</v>
      </c>
      <c r="O25" t="str">
        <v>full_year</v>
      </c>
      <c r="P25">
        <f>COUNTIFS('Reportes chatbot'!$D$5:$D$5004,$B25,'Reportes chatbot'!$N$5:$N$5004,"approved",'Reportes chatbot'!$O$5:$O$5004,"si",'Reportes chatbot'!$C$5:$C$5004,"&gt;="&amp;DATE($A25,1,1),'Reportes chatbot'!$C$5:$C$5004,"&lt;"&amp;DATE($A25+1,1,1))</f>
        <v>0</v>
      </c>
    </row>
    <row r="26">
      <c r="A26">
        <v>2019</v>
      </c>
      <c r="B26" t="str">
        <v>02</v>
      </c>
      <c r="C26" t="str">
        <v>Chapinero</v>
      </c>
      <c r="D26">
        <v>13551</v>
      </c>
      <c r="E26">
        <v>7997</v>
      </c>
      <c r="F26">
        <v>158365</v>
      </c>
      <c r="G26">
        <v>8556.814953</v>
      </c>
      <c r="H26">
        <v>5049.726897</v>
      </c>
      <c r="I26">
        <v>0.5901409490074533</v>
      </c>
      <c r="J26">
        <v>1</v>
      </c>
      <c r="K26">
        <v>2</v>
      </c>
      <c r="L26">
        <v>32.800862</v>
      </c>
      <c r="M26">
        <v>16.727485</v>
      </c>
      <c r="N26">
        <v>0.9996792600000001</v>
      </c>
      <c r="O26" t="str">
        <v>full_year</v>
      </c>
      <c r="P26">
        <f>COUNTIFS('Reportes chatbot'!$D$5:$D$5004,$B26,'Reportes chatbot'!$N$5:$N$5004,"approved",'Reportes chatbot'!$O$5:$O$5004,"si",'Reportes chatbot'!$C$5:$C$5004,"&gt;="&amp;DATE($A26,1,1),'Reportes chatbot'!$C$5:$C$5004,"&lt;"&amp;DATE($A26+1,1,1))</f>
        <v>0</v>
      </c>
    </row>
    <row r="27">
      <c r="A27">
        <v>2019</v>
      </c>
      <c r="B27" t="str">
        <v>03</v>
      </c>
      <c r="C27" t="str">
        <v>Santa Fe</v>
      </c>
      <c r="D27">
        <v>8099</v>
      </c>
      <c r="E27">
        <v>5078</v>
      </c>
      <c r="F27">
        <v>106046</v>
      </c>
      <c r="G27">
        <v>7637.251759</v>
      </c>
      <c r="H27">
        <v>4788.488015</v>
      </c>
      <c r="I27">
        <v>0.6269909865415484</v>
      </c>
      <c r="J27">
        <v>7</v>
      </c>
      <c r="K27">
        <v>3</v>
      </c>
      <c r="L27">
        <v>12.05036</v>
      </c>
      <c r="M27">
        <v>-2.961972</v>
      </c>
      <c r="N27">
        <v>0.9996792600000001</v>
      </c>
      <c r="O27" t="str">
        <v>full_year</v>
      </c>
      <c r="P27">
        <f>COUNTIFS('Reportes chatbot'!$D$5:$D$5004,$B27,'Reportes chatbot'!$N$5:$N$5004,"approved",'Reportes chatbot'!$O$5:$O$5004,"si",'Reportes chatbot'!$C$5:$C$5004,"&gt;="&amp;DATE($A27,1,1),'Reportes chatbot'!$C$5:$C$5004,"&lt;"&amp;DATE($A27+1,1,1))</f>
        <v>0</v>
      </c>
    </row>
    <row r="28">
      <c r="A28">
        <v>2019</v>
      </c>
      <c r="B28" t="str">
        <v>04</v>
      </c>
      <c r="C28" t="str">
        <v>San Cristóbal</v>
      </c>
      <c r="D28">
        <v>2857</v>
      </c>
      <c r="E28">
        <v>6401</v>
      </c>
      <c r="F28">
        <v>387780</v>
      </c>
      <c r="G28">
        <v>736.757956</v>
      </c>
      <c r="H28">
        <v>1650.67822</v>
      </c>
      <c r="I28">
        <v>2.240462023101155</v>
      </c>
      <c r="J28">
        <v>15</v>
      </c>
      <c r="K28">
        <v>17</v>
      </c>
      <c r="L28">
        <v>21.937687</v>
      </c>
      <c r="M28">
        <v>6.346569</v>
      </c>
      <c r="N28">
        <v>0.9996792600000001</v>
      </c>
      <c r="O28" t="str">
        <v>full_year</v>
      </c>
      <c r="P28">
        <f>COUNTIFS('Reportes chatbot'!$D$5:$D$5004,$B28,'Reportes chatbot'!$N$5:$N$5004,"approved",'Reportes chatbot'!$O$5:$O$5004,"si",'Reportes chatbot'!$C$5:$C$5004,"&gt;="&amp;DATE($A28,1,1),'Reportes chatbot'!$C$5:$C$5004,"&lt;"&amp;DATE($A28+1,1,1))</f>
        <v>0</v>
      </c>
    </row>
    <row r="29">
      <c r="A29">
        <v>2019</v>
      </c>
      <c r="B29" t="str">
        <v>05</v>
      </c>
      <c r="C29" t="str">
        <v>Usme</v>
      </c>
      <c r="D29">
        <v>2294</v>
      </c>
      <c r="E29">
        <v>3690</v>
      </c>
      <c r="F29">
        <v>369554</v>
      </c>
      <c r="G29">
        <v>620.748253</v>
      </c>
      <c r="H29">
        <v>998.500896</v>
      </c>
      <c r="I29">
        <v>1.6085440278988665</v>
      </c>
      <c r="J29">
        <v>18</v>
      </c>
      <c r="K29">
        <v>19</v>
      </c>
      <c r="L29">
        <v>23.73247</v>
      </c>
      <c r="M29">
        <v>-13.50211</v>
      </c>
      <c r="N29">
        <v>0.9996792600000001</v>
      </c>
      <c r="O29" t="str">
        <v>full_year</v>
      </c>
      <c r="P29">
        <f>COUNTIFS('Reportes chatbot'!$D$5:$D$5004,$B29,'Reportes chatbot'!$N$5:$N$5004,"approved",'Reportes chatbot'!$O$5:$O$5004,"si",'Reportes chatbot'!$C$5:$C$5004,"&gt;="&amp;DATE($A29,1,1),'Reportes chatbot'!$C$5:$C$5004,"&lt;"&amp;DATE($A29+1,1,1))</f>
        <v>0</v>
      </c>
    </row>
    <row r="30">
      <c r="A30">
        <v>2019</v>
      </c>
      <c r="B30" t="str">
        <v>06</v>
      </c>
      <c r="C30" t="str">
        <v>Tunjuelito</v>
      </c>
      <c r="D30">
        <v>2551</v>
      </c>
      <c r="E30">
        <v>3186</v>
      </c>
      <c r="F30">
        <v>173152</v>
      </c>
      <c r="G30">
        <v>1473.272038</v>
      </c>
      <c r="H30">
        <v>1840.001848</v>
      </c>
      <c r="I30">
        <v>1.248921991375931</v>
      </c>
      <c r="J30">
        <v>16</v>
      </c>
      <c r="K30">
        <v>11</v>
      </c>
      <c r="L30">
        <v>16.964695</v>
      </c>
      <c r="M30">
        <v>-14.675951</v>
      </c>
      <c r="N30">
        <v>0.9996792600000001</v>
      </c>
      <c r="O30" t="str">
        <v>full_year</v>
      </c>
      <c r="P30">
        <f>COUNTIFS('Reportes chatbot'!$D$5:$D$5004,$B30,'Reportes chatbot'!$N$5:$N$5004,"approved",'Reportes chatbot'!$O$5:$O$5004,"si",'Reportes chatbot'!$C$5:$C$5004,"&gt;="&amp;DATE($A30,1,1),'Reportes chatbot'!$C$5:$C$5004,"&lt;"&amp;DATE($A30+1,1,1))</f>
        <v>0</v>
      </c>
    </row>
    <row r="31">
      <c r="A31">
        <v>2019</v>
      </c>
      <c r="B31" t="str">
        <v>07</v>
      </c>
      <c r="C31" t="str">
        <v>Bosa</v>
      </c>
      <c r="D31">
        <v>5225</v>
      </c>
      <c r="E31">
        <v>9881</v>
      </c>
      <c r="F31">
        <v>701367</v>
      </c>
      <c r="G31">
        <v>744.973744</v>
      </c>
      <c r="H31">
        <v>1408.820204</v>
      </c>
      <c r="I31">
        <v>1.8911004784688996</v>
      </c>
      <c r="J31">
        <v>12</v>
      </c>
      <c r="K31">
        <v>16</v>
      </c>
      <c r="L31">
        <v>20.391705</v>
      </c>
      <c r="M31">
        <v>-3.345398</v>
      </c>
      <c r="N31">
        <v>0.9996792600000001</v>
      </c>
      <c r="O31" t="str">
        <v>full_year</v>
      </c>
      <c r="P31">
        <f>COUNTIFS('Reportes chatbot'!$D$5:$D$5004,$B31,'Reportes chatbot'!$N$5:$N$5004,"approved",'Reportes chatbot'!$O$5:$O$5004,"si",'Reportes chatbot'!$C$5:$C$5004,"&gt;="&amp;DATE($A31,1,1),'Reportes chatbot'!$C$5:$C$5004,"&lt;"&amp;DATE($A31+1,1,1))</f>
        <v>0</v>
      </c>
    </row>
    <row r="32">
      <c r="A32">
        <v>2019</v>
      </c>
      <c r="B32" t="str">
        <v>08</v>
      </c>
      <c r="C32" t="str">
        <v>Kennedy</v>
      </c>
      <c r="D32">
        <v>13044</v>
      </c>
      <c r="E32">
        <v>18720</v>
      </c>
      <c r="F32">
        <v>1038169</v>
      </c>
      <c r="G32">
        <v>1256.442833</v>
      </c>
      <c r="H32">
        <v>1803.174628</v>
      </c>
      <c r="I32">
        <v>1.4351425942962281</v>
      </c>
      <c r="J32">
        <v>2</v>
      </c>
      <c r="K32">
        <v>13</v>
      </c>
      <c r="L32">
        <v>17.715008</v>
      </c>
      <c r="M32">
        <v>-7.25327</v>
      </c>
      <c r="N32">
        <v>0.9996792600000001</v>
      </c>
      <c r="O32" t="str">
        <v>full_year</v>
      </c>
      <c r="P32">
        <f>COUNTIFS('Reportes chatbot'!$D$5:$D$5004,$B32,'Reportes chatbot'!$N$5:$N$5004,"approved",'Reportes chatbot'!$O$5:$O$5004,"si",'Reportes chatbot'!$C$5:$C$5004,"&gt;="&amp;DATE($A32,1,1),'Reportes chatbot'!$C$5:$C$5004,"&lt;"&amp;DATE($A32+1,1,1))</f>
        <v>0</v>
      </c>
    </row>
    <row r="33">
      <c r="A33">
        <v>2019</v>
      </c>
      <c r="B33" t="str">
        <v>09</v>
      </c>
      <c r="C33" t="str">
        <v>Fontibón</v>
      </c>
      <c r="D33">
        <v>7803</v>
      </c>
      <c r="E33">
        <v>6708</v>
      </c>
      <c r="F33">
        <v>371367</v>
      </c>
      <c r="G33">
        <v>2101.155999</v>
      </c>
      <c r="H33">
        <v>1806.299429</v>
      </c>
      <c r="I33">
        <v>0.8596693579392541</v>
      </c>
      <c r="J33">
        <v>8</v>
      </c>
      <c r="K33">
        <v>9</v>
      </c>
      <c r="L33">
        <v>25.773694</v>
      </c>
      <c r="M33">
        <v>7.637997</v>
      </c>
      <c r="N33">
        <v>0.9996792600000001</v>
      </c>
      <c r="O33" t="str">
        <v>full_year</v>
      </c>
      <c r="P33">
        <f>COUNTIFS('Reportes chatbot'!$D$5:$D$5004,$B33,'Reportes chatbot'!$N$5:$N$5004,"approved",'Reportes chatbot'!$O$5:$O$5004,"si",'Reportes chatbot'!$C$5:$C$5004,"&gt;="&amp;DATE($A33,1,1),'Reportes chatbot'!$C$5:$C$5004,"&lt;"&amp;DATE($A33+1,1,1))</f>
        <v>0</v>
      </c>
    </row>
    <row r="34">
      <c r="A34">
        <v>2019</v>
      </c>
      <c r="B34" t="str">
        <v>10</v>
      </c>
      <c r="C34" t="str">
        <v>Engativá</v>
      </c>
      <c r="D34">
        <v>11535</v>
      </c>
      <c r="E34">
        <v>15760</v>
      </c>
      <c r="F34">
        <v>803512</v>
      </c>
      <c r="G34">
        <v>1435.572835</v>
      </c>
      <c r="H34">
        <v>1961.3895</v>
      </c>
      <c r="I34">
        <v>1.366276549631556</v>
      </c>
      <c r="J34">
        <v>4</v>
      </c>
      <c r="K34">
        <v>12</v>
      </c>
      <c r="L34">
        <v>19.323472</v>
      </c>
      <c r="M34">
        <v>1.953681</v>
      </c>
      <c r="N34">
        <v>0.9996792600000001</v>
      </c>
      <c r="O34" t="str">
        <v>full_year</v>
      </c>
      <c r="P34">
        <f>COUNTIFS('Reportes chatbot'!$D$5:$D$5004,$B34,'Reportes chatbot'!$N$5:$N$5004,"approved",'Reportes chatbot'!$O$5:$O$5004,"si",'Reportes chatbot'!$C$5:$C$5004,"&gt;="&amp;DATE($A34,1,1),'Reportes chatbot'!$C$5:$C$5004,"&lt;"&amp;DATE($A34+1,1,1))</f>
        <v>0</v>
      </c>
    </row>
    <row r="35">
      <c r="A35">
        <v>2019</v>
      </c>
      <c r="B35" t="str">
        <v>11</v>
      </c>
      <c r="C35" t="str">
        <v>Suba</v>
      </c>
      <c r="D35">
        <v>12708</v>
      </c>
      <c r="E35">
        <v>17270</v>
      </c>
      <c r="F35">
        <v>1175678</v>
      </c>
      <c r="G35">
        <v>1080.908208</v>
      </c>
      <c r="H35">
        <v>1468.939625</v>
      </c>
      <c r="I35">
        <v>1.3589864652187598</v>
      </c>
      <c r="J35">
        <v>3</v>
      </c>
      <c r="K35">
        <v>15</v>
      </c>
      <c r="L35">
        <v>15.83265</v>
      </c>
      <c r="M35">
        <v>-4.32663</v>
      </c>
      <c r="N35">
        <v>0.9996792600000001</v>
      </c>
      <c r="O35" t="str">
        <v>full_year</v>
      </c>
      <c r="P35">
        <f>COUNTIFS('Reportes chatbot'!$D$5:$D$5004,$B35,'Reportes chatbot'!$N$5:$N$5004,"approved",'Reportes chatbot'!$O$5:$O$5004,"si",'Reportes chatbot'!$C$5:$C$5004,"&gt;="&amp;DATE($A35,1,1),'Reportes chatbot'!$C$5:$C$5004,"&lt;"&amp;DATE($A35+1,1,1))</f>
        <v>0</v>
      </c>
    </row>
    <row r="36">
      <c r="A36">
        <v>2019</v>
      </c>
      <c r="B36" t="str">
        <v>12</v>
      </c>
      <c r="C36" t="str">
        <v>Barrios Unidos</v>
      </c>
      <c r="D36">
        <v>5432</v>
      </c>
      <c r="E36">
        <v>5193</v>
      </c>
      <c r="F36">
        <v>133784</v>
      </c>
      <c r="G36">
        <v>4060.276266</v>
      </c>
      <c r="H36">
        <v>3881.63009</v>
      </c>
      <c r="I36">
        <v>0.9560014727540501</v>
      </c>
      <c r="J36">
        <v>11</v>
      </c>
      <c r="K36">
        <v>6</v>
      </c>
      <c r="L36">
        <v>18.810149</v>
      </c>
      <c r="M36">
        <v>0.678558</v>
      </c>
      <c r="N36">
        <v>0.9996792600000001</v>
      </c>
      <c r="O36" t="str">
        <v>full_year</v>
      </c>
      <c r="P36">
        <f>COUNTIFS('Reportes chatbot'!$D$5:$D$5004,$B36,'Reportes chatbot'!$N$5:$N$5004,"approved",'Reportes chatbot'!$O$5:$O$5004,"si",'Reportes chatbot'!$C$5:$C$5004,"&gt;="&amp;DATE($A36,1,1),'Reportes chatbot'!$C$5:$C$5004,"&lt;"&amp;DATE($A36+1,1,1))</f>
        <v>0</v>
      </c>
    </row>
    <row r="37">
      <c r="A37">
        <v>2019</v>
      </c>
      <c r="B37" t="str">
        <v>13</v>
      </c>
      <c r="C37" t="str">
        <v>Teusaquillo</v>
      </c>
      <c r="D37">
        <v>8132</v>
      </c>
      <c r="E37">
        <v>5729</v>
      </c>
      <c r="F37">
        <v>147038</v>
      </c>
      <c r="G37">
        <v>5530.543125</v>
      </c>
      <c r="H37">
        <v>3896.271712</v>
      </c>
      <c r="I37">
        <v>0.7045007378258731</v>
      </c>
      <c r="J37">
        <v>6</v>
      </c>
      <c r="K37">
        <v>5</v>
      </c>
      <c r="L37">
        <v>16.571101</v>
      </c>
      <c r="M37">
        <v>5.720613</v>
      </c>
      <c r="N37">
        <v>0.9996792600000001</v>
      </c>
      <c r="O37" t="str">
        <v>full_year</v>
      </c>
      <c r="P37">
        <f>COUNTIFS('Reportes chatbot'!$D$5:$D$5004,$B37,'Reportes chatbot'!$N$5:$N$5004,"approved",'Reportes chatbot'!$O$5:$O$5004,"si",'Reportes chatbot'!$C$5:$C$5004,"&gt;="&amp;DATE($A37,1,1),'Reportes chatbot'!$C$5:$C$5004,"&lt;"&amp;DATE($A37+1,1,1))</f>
        <v>0</v>
      </c>
    </row>
    <row r="38">
      <c r="A38">
        <v>2019</v>
      </c>
      <c r="B38" t="str">
        <v>14</v>
      </c>
      <c r="C38" t="str">
        <v>Los Mártires</v>
      </c>
      <c r="D38">
        <v>5493</v>
      </c>
      <c r="E38">
        <v>4483</v>
      </c>
      <c r="F38">
        <v>73732</v>
      </c>
      <c r="G38">
        <v>7449.953887</v>
      </c>
      <c r="H38">
        <v>6080.128031</v>
      </c>
      <c r="I38">
        <v>0.8161296195157474</v>
      </c>
      <c r="J38">
        <v>10</v>
      </c>
      <c r="K38">
        <v>4</v>
      </c>
      <c r="L38">
        <v>24.50136</v>
      </c>
      <c r="M38">
        <v>-4.718385</v>
      </c>
      <c r="N38">
        <v>0.9996792600000001</v>
      </c>
      <c r="O38" t="str">
        <v>full_year</v>
      </c>
      <c r="P38">
        <f>COUNTIFS('Reportes chatbot'!$D$5:$D$5004,$B38,'Reportes chatbot'!$N$5:$N$5004,"approved",'Reportes chatbot'!$O$5:$O$5004,"si",'Reportes chatbot'!$C$5:$C$5004,"&gt;="&amp;DATE($A38,1,1),'Reportes chatbot'!$C$5:$C$5004,"&lt;"&amp;DATE($A38+1,1,1))</f>
        <v>0</v>
      </c>
    </row>
    <row r="39">
      <c r="A39">
        <v>2019</v>
      </c>
      <c r="B39" t="str">
        <v>15</v>
      </c>
      <c r="C39" t="str">
        <v>Antonio Nariño</v>
      </c>
      <c r="D39">
        <v>2420</v>
      </c>
      <c r="E39">
        <v>2731</v>
      </c>
      <c r="F39">
        <v>79278</v>
      </c>
      <c r="G39">
        <v>3052.549257</v>
      </c>
      <c r="H39">
        <v>3444.839678</v>
      </c>
      <c r="I39">
        <v>1.1285123966942148</v>
      </c>
      <c r="J39">
        <v>17</v>
      </c>
      <c r="K39">
        <v>7</v>
      </c>
      <c r="L39">
        <v>34.146341</v>
      </c>
      <c r="M39">
        <v>0.88659</v>
      </c>
      <c r="N39">
        <v>0.9996792600000001</v>
      </c>
      <c r="O39" t="str">
        <v>full_year</v>
      </c>
      <c r="P39">
        <f>COUNTIFS('Reportes chatbot'!$D$5:$D$5004,$B39,'Reportes chatbot'!$N$5:$N$5004,"approved",'Reportes chatbot'!$O$5:$O$5004,"si",'Reportes chatbot'!$C$5:$C$5004,"&gt;="&amp;DATE($A39,1,1),'Reportes chatbot'!$C$5:$C$5004,"&lt;"&amp;DATE($A39+1,1,1))</f>
        <v>0</v>
      </c>
    </row>
    <row r="40">
      <c r="A40">
        <v>2019</v>
      </c>
      <c r="B40" t="str">
        <v>16</v>
      </c>
      <c r="C40" t="str">
        <v>Puente Aranda</v>
      </c>
      <c r="D40">
        <v>5804</v>
      </c>
      <c r="E40">
        <v>7313</v>
      </c>
      <c r="F40">
        <v>244880</v>
      </c>
      <c r="G40">
        <v>2370.140477</v>
      </c>
      <c r="H40">
        <v>2986.360666</v>
      </c>
      <c r="I40">
        <v>1.2599931082012406</v>
      </c>
      <c r="J40">
        <v>9</v>
      </c>
      <c r="K40">
        <v>8</v>
      </c>
      <c r="L40">
        <v>21.907162</v>
      </c>
      <c r="M40">
        <v>-9.290499</v>
      </c>
      <c r="N40">
        <v>0.9996792600000001</v>
      </c>
      <c r="O40" t="str">
        <v>full_year</v>
      </c>
      <c r="P40">
        <f>COUNTIFS('Reportes chatbot'!$D$5:$D$5004,$B40,'Reportes chatbot'!$N$5:$N$5004,"approved",'Reportes chatbot'!$O$5:$O$5004,"si",'Reportes chatbot'!$C$5:$C$5004,"&gt;="&amp;DATE($A40,1,1),'Reportes chatbot'!$C$5:$C$5004,"&lt;"&amp;DATE($A40+1,1,1))</f>
        <v>0</v>
      </c>
    </row>
    <row r="41">
      <c r="A41">
        <v>2019</v>
      </c>
      <c r="B41" t="str">
        <v>17</v>
      </c>
      <c r="C41" t="str">
        <v>La Candelaria</v>
      </c>
      <c r="D41">
        <v>1844</v>
      </c>
      <c r="E41">
        <v>763</v>
      </c>
      <c r="F41">
        <v>17054</v>
      </c>
      <c r="G41">
        <v>10812.71256</v>
      </c>
      <c r="H41">
        <v>4474.023689</v>
      </c>
      <c r="I41">
        <v>0.4137744034707158</v>
      </c>
      <c r="J41">
        <v>19</v>
      </c>
      <c r="K41">
        <v>1</v>
      </c>
      <c r="L41">
        <v>17.228226</v>
      </c>
      <c r="M41">
        <v>-16.337719</v>
      </c>
      <c r="N41">
        <v>0.9996792600000001</v>
      </c>
      <c r="O41" t="str">
        <v>full_year</v>
      </c>
      <c r="P41">
        <f>COUNTIFS('Reportes chatbot'!$D$5:$D$5004,$B41,'Reportes chatbot'!$N$5:$N$5004,"approved",'Reportes chatbot'!$O$5:$O$5004,"si",'Reportes chatbot'!$C$5:$C$5004,"&gt;="&amp;DATE($A41,1,1),'Reportes chatbot'!$C$5:$C$5004,"&lt;"&amp;DATE($A41+1,1,1))</f>
        <v>0</v>
      </c>
    </row>
    <row r="42">
      <c r="A42">
        <v>2019</v>
      </c>
      <c r="B42" t="str">
        <v>18</v>
      </c>
      <c r="C42" t="str">
        <v>Rafael Uribe Uribe</v>
      </c>
      <c r="D42">
        <v>3995</v>
      </c>
      <c r="E42">
        <v>6678</v>
      </c>
      <c r="F42">
        <v>368116</v>
      </c>
      <c r="G42">
        <v>1085.255735</v>
      </c>
      <c r="H42">
        <v>1814.102077</v>
      </c>
      <c r="I42">
        <v>1.6715894868585732</v>
      </c>
      <c r="J42">
        <v>14</v>
      </c>
      <c r="K42">
        <v>14</v>
      </c>
      <c r="L42">
        <v>19.360621</v>
      </c>
      <c r="M42">
        <v>-5.504457</v>
      </c>
      <c r="N42">
        <v>0.9996792600000001</v>
      </c>
      <c r="O42" t="str">
        <v>full_year</v>
      </c>
      <c r="P42">
        <f>COUNTIFS('Reportes chatbot'!$D$5:$D$5004,$B42,'Reportes chatbot'!$N$5:$N$5004,"approved",'Reportes chatbot'!$O$5:$O$5004,"si",'Reportes chatbot'!$C$5:$C$5004,"&gt;="&amp;DATE($A42,1,1),'Reportes chatbot'!$C$5:$C$5004,"&lt;"&amp;DATE($A42+1,1,1))</f>
        <v>0</v>
      </c>
    </row>
    <row r="43">
      <c r="A43">
        <v>2019</v>
      </c>
      <c r="B43" t="str">
        <v>19</v>
      </c>
      <c r="C43" t="str">
        <v>Ciudad Bolívar</v>
      </c>
      <c r="D43">
        <v>4194</v>
      </c>
      <c r="E43">
        <v>8581</v>
      </c>
      <c r="F43">
        <v>624876</v>
      </c>
      <c r="G43">
        <v>671.173161</v>
      </c>
      <c r="H43">
        <v>1373.232449</v>
      </c>
      <c r="I43">
        <v>2.0460181211254174</v>
      </c>
      <c r="J43">
        <v>13</v>
      </c>
      <c r="K43">
        <v>18</v>
      </c>
      <c r="L43">
        <v>26.898638</v>
      </c>
      <c r="M43">
        <v>-9.272573</v>
      </c>
      <c r="N43">
        <v>0.9996792600000001</v>
      </c>
      <c r="O43" t="str">
        <v>full_year</v>
      </c>
      <c r="P43">
        <f>COUNTIFS('Reportes chatbot'!$D$5:$D$5004,$B43,'Reportes chatbot'!$N$5:$N$5004,"approved",'Reportes chatbot'!$O$5:$O$5004,"si",'Reportes chatbot'!$C$5:$C$5004,"&gt;="&amp;DATE($A43,1,1),'Reportes chatbot'!$C$5:$C$5004,"&lt;"&amp;DATE($A43+1,1,1))</f>
        <v>0</v>
      </c>
    </row>
    <row r="44">
      <c r="A44">
        <v>2019</v>
      </c>
      <c r="B44" t="str">
        <v>20</v>
      </c>
      <c r="C44" t="str">
        <v>Sumapaz</v>
      </c>
      <c r="D44">
        <v>0</v>
      </c>
      <c r="E44">
        <v>4</v>
      </c>
      <c r="F44">
        <v>3197</v>
      </c>
      <c r="G44">
        <v>0</v>
      </c>
      <c r="H44">
        <v>125.117297</v>
      </c>
      <c r="J44">
        <v>20</v>
      </c>
      <c r="K44">
        <v>20</v>
      </c>
      <c r="L44">
        <v>-100</v>
      </c>
      <c r="M44" t="str">
        <v>inf</v>
      </c>
      <c r="N44">
        <v>0.9996792600000001</v>
      </c>
      <c r="O44" t="str">
        <v>full_year</v>
      </c>
      <c r="P44">
        <f>COUNTIFS('Reportes chatbot'!$D$5:$D$5004,$B44,'Reportes chatbot'!$N$5:$N$5004,"approved",'Reportes chatbot'!$O$5:$O$5004,"si",'Reportes chatbot'!$C$5:$C$5004,"&gt;="&amp;DATE($A44,1,1),'Reportes chatbot'!$C$5:$C$5004,"&lt;"&amp;DATE($A44+1,1,1))</f>
        <v>0</v>
      </c>
    </row>
    <row r="45">
      <c r="A45">
        <v>2020</v>
      </c>
      <c r="B45" t="str">
        <v>01</v>
      </c>
      <c r="C45" t="str">
        <v>Usaquén</v>
      </c>
      <c r="D45">
        <v>6144</v>
      </c>
      <c r="E45">
        <v>7379</v>
      </c>
      <c r="F45">
        <v>572435</v>
      </c>
      <c r="G45">
        <v>1073.309633</v>
      </c>
      <c r="H45">
        <v>1289.054652</v>
      </c>
      <c r="I45">
        <v>1.2010091145833333</v>
      </c>
      <c r="J45">
        <v>4</v>
      </c>
      <c r="K45">
        <v>12</v>
      </c>
      <c r="L45">
        <v>-43.142699</v>
      </c>
      <c r="M45">
        <v>-32.710195</v>
      </c>
      <c r="N45">
        <v>0.9999158</v>
      </c>
      <c r="O45" t="str">
        <v>full_year</v>
      </c>
      <c r="P45">
        <f>COUNTIFS('Reportes chatbot'!$D$5:$D$5004,$B45,'Reportes chatbot'!$N$5:$N$5004,"approved",'Reportes chatbot'!$O$5:$O$5004,"si",'Reportes chatbot'!$C$5:$C$5004,"&gt;="&amp;DATE($A45,1,1),'Reportes chatbot'!$C$5:$C$5004,"&lt;"&amp;DATE($A45+1,1,1))</f>
        <v>0</v>
      </c>
    </row>
    <row r="46">
      <c r="A46">
        <v>2020</v>
      </c>
      <c r="B46" t="str">
        <v>02</v>
      </c>
      <c r="C46" t="str">
        <v>Chapinero</v>
      </c>
      <c r="D46">
        <v>5369</v>
      </c>
      <c r="E46">
        <v>3552</v>
      </c>
      <c r="F46">
        <v>161416</v>
      </c>
      <c r="G46">
        <v>3326.188234</v>
      </c>
      <c r="H46">
        <v>2200.525351</v>
      </c>
      <c r="I46">
        <v>0.66157571242317</v>
      </c>
      <c r="J46">
        <v>5</v>
      </c>
      <c r="K46">
        <v>4</v>
      </c>
      <c r="L46">
        <v>-60.379308</v>
      </c>
      <c r="M46">
        <v>-55.583344</v>
      </c>
      <c r="N46">
        <v>0.9999158</v>
      </c>
      <c r="O46" t="str">
        <v>full_year</v>
      </c>
      <c r="P46">
        <f>COUNTIFS('Reportes chatbot'!$D$5:$D$5004,$B46,'Reportes chatbot'!$N$5:$N$5004,"approved",'Reportes chatbot'!$O$5:$O$5004,"si",'Reportes chatbot'!$C$5:$C$5004,"&gt;="&amp;DATE($A46,1,1),'Reportes chatbot'!$C$5:$C$5004,"&lt;"&amp;DATE($A46+1,1,1))</f>
        <v>0</v>
      </c>
    </row>
    <row r="47">
      <c r="A47">
        <v>2020</v>
      </c>
      <c r="B47" t="str">
        <v>03</v>
      </c>
      <c r="C47" t="str">
        <v>Santa Fe</v>
      </c>
      <c r="D47">
        <v>3921</v>
      </c>
      <c r="E47">
        <v>3234</v>
      </c>
      <c r="F47">
        <v>109168</v>
      </c>
      <c r="G47">
        <v>3591.711857</v>
      </c>
      <c r="H47">
        <v>2962.406566</v>
      </c>
      <c r="I47">
        <v>0.8247895944912013</v>
      </c>
      <c r="J47">
        <v>10</v>
      </c>
      <c r="K47">
        <v>3</v>
      </c>
      <c r="L47">
        <v>-51.586616</v>
      </c>
      <c r="M47">
        <v>-36.313509</v>
      </c>
      <c r="N47">
        <v>0.9999158</v>
      </c>
      <c r="O47" t="str">
        <v>full_year</v>
      </c>
      <c r="P47">
        <f>COUNTIFS('Reportes chatbot'!$D$5:$D$5004,$B47,'Reportes chatbot'!$N$5:$N$5004,"approved",'Reportes chatbot'!$O$5:$O$5004,"si",'Reportes chatbot'!$C$5:$C$5004,"&gt;="&amp;DATE($A47,1,1),'Reportes chatbot'!$C$5:$C$5004,"&lt;"&amp;DATE($A47+1,1,1))</f>
        <v>0</v>
      </c>
    </row>
    <row r="48">
      <c r="A48">
        <v>2020</v>
      </c>
      <c r="B48" t="str">
        <v>04</v>
      </c>
      <c r="C48" t="str">
        <v>San Cristóbal</v>
      </c>
      <c r="D48">
        <v>2566</v>
      </c>
      <c r="E48">
        <v>5380</v>
      </c>
      <c r="F48">
        <v>393357</v>
      </c>
      <c r="G48">
        <v>652.333631</v>
      </c>
      <c r="H48">
        <v>1367.714315</v>
      </c>
      <c r="I48">
        <v>2.0966484801247076</v>
      </c>
      <c r="J48">
        <v>15</v>
      </c>
      <c r="K48">
        <v>16</v>
      </c>
      <c r="L48">
        <v>-10.185509</v>
      </c>
      <c r="M48">
        <v>-15.950633</v>
      </c>
      <c r="N48">
        <v>0.9999158</v>
      </c>
      <c r="O48" t="str">
        <v>full_year</v>
      </c>
      <c r="P48">
        <f>COUNTIFS('Reportes chatbot'!$D$5:$D$5004,$B48,'Reportes chatbot'!$N$5:$N$5004,"approved",'Reportes chatbot'!$O$5:$O$5004,"si",'Reportes chatbot'!$C$5:$C$5004,"&gt;="&amp;DATE($A48,1,1),'Reportes chatbot'!$C$5:$C$5004,"&lt;"&amp;DATE($A48+1,1,1))</f>
        <v>0</v>
      </c>
    </row>
    <row r="49">
      <c r="A49">
        <v>2020</v>
      </c>
      <c r="B49" t="str">
        <v>05</v>
      </c>
      <c r="C49" t="str">
        <v>Usme</v>
      </c>
      <c r="D49">
        <v>1884</v>
      </c>
      <c r="E49">
        <v>3709</v>
      </c>
      <c r="F49">
        <v>378875</v>
      </c>
      <c r="G49">
        <v>497.26163</v>
      </c>
      <c r="H49">
        <v>978.950841</v>
      </c>
      <c r="I49">
        <v>1.9686836518046709</v>
      </c>
      <c r="J49">
        <v>18</v>
      </c>
      <c r="K49">
        <v>19</v>
      </c>
      <c r="L49">
        <v>-17.872711</v>
      </c>
      <c r="M49">
        <v>0.514905</v>
      </c>
      <c r="N49">
        <v>0.9999158</v>
      </c>
      <c r="O49" t="str">
        <v>full_year</v>
      </c>
      <c r="P49">
        <f>COUNTIFS('Reportes chatbot'!$D$5:$D$5004,$B49,'Reportes chatbot'!$N$5:$N$5004,"approved",'Reportes chatbot'!$O$5:$O$5004,"si",'Reportes chatbot'!$C$5:$C$5004,"&gt;="&amp;DATE($A49,1,1),'Reportes chatbot'!$C$5:$C$5004,"&lt;"&amp;DATE($A49+1,1,1))</f>
        <v>0</v>
      </c>
    </row>
    <row r="50">
      <c r="A50">
        <v>2020</v>
      </c>
      <c r="B50" t="str">
        <v>06</v>
      </c>
      <c r="C50" t="str">
        <v>Tunjuelito</v>
      </c>
      <c r="D50">
        <v>1905</v>
      </c>
      <c r="E50">
        <v>2662</v>
      </c>
      <c r="F50">
        <v>176152</v>
      </c>
      <c r="G50">
        <v>1081.452382</v>
      </c>
      <c r="H50">
        <v>1511.194877</v>
      </c>
      <c r="I50">
        <v>1.3973753280839896</v>
      </c>
      <c r="J50">
        <v>17</v>
      </c>
      <c r="K50">
        <v>11</v>
      </c>
      <c r="L50">
        <v>-25.323403</v>
      </c>
      <c r="M50">
        <v>-16.446955</v>
      </c>
      <c r="N50">
        <v>0.9999158</v>
      </c>
      <c r="O50" t="str">
        <v>full_year</v>
      </c>
      <c r="P50">
        <f>COUNTIFS('Reportes chatbot'!$D$5:$D$5004,$B50,'Reportes chatbot'!$N$5:$N$5004,"approved",'Reportes chatbot'!$O$5:$O$5004,"si",'Reportes chatbot'!$C$5:$C$5004,"&gt;="&amp;DATE($A50,1,1),'Reportes chatbot'!$C$5:$C$5004,"&lt;"&amp;DATE($A50+1,1,1))</f>
        <v>0</v>
      </c>
    </row>
    <row r="51">
      <c r="A51">
        <v>2020</v>
      </c>
      <c r="B51" t="str">
        <v>07</v>
      </c>
      <c r="C51" t="str">
        <v>Bosa</v>
      </c>
      <c r="D51">
        <v>4516</v>
      </c>
      <c r="E51">
        <v>8118</v>
      </c>
      <c r="F51">
        <v>721583</v>
      </c>
      <c r="G51">
        <v>625.84623</v>
      </c>
      <c r="H51">
        <v>1125.026504</v>
      </c>
      <c r="I51">
        <v>1.7976085031000886</v>
      </c>
      <c r="J51">
        <v>7</v>
      </c>
      <c r="K51">
        <v>17</v>
      </c>
      <c r="L51">
        <v>-13.569378</v>
      </c>
      <c r="M51">
        <v>-17.842324</v>
      </c>
      <c r="N51">
        <v>0.9999158</v>
      </c>
      <c r="O51" t="str">
        <v>full_year</v>
      </c>
      <c r="P51">
        <f>COUNTIFS('Reportes chatbot'!$D$5:$D$5004,$B51,'Reportes chatbot'!$N$5:$N$5004,"approved",'Reportes chatbot'!$O$5:$O$5004,"si",'Reportes chatbot'!$C$5:$C$5004,"&gt;="&amp;DATE($A51,1,1),'Reportes chatbot'!$C$5:$C$5004,"&lt;"&amp;DATE($A51+1,1,1))</f>
        <v>0</v>
      </c>
    </row>
    <row r="52">
      <c r="A52">
        <v>2020</v>
      </c>
      <c r="B52" t="str">
        <v>08</v>
      </c>
      <c r="C52" t="str">
        <v>Kennedy</v>
      </c>
      <c r="D52">
        <v>9546</v>
      </c>
      <c r="E52">
        <v>13969</v>
      </c>
      <c r="F52">
        <v>1065707</v>
      </c>
      <c r="G52">
        <v>895.743389</v>
      </c>
      <c r="H52">
        <v>1310.773036</v>
      </c>
      <c r="I52">
        <v>1.4633354284517075</v>
      </c>
      <c r="J52">
        <v>1</v>
      </c>
      <c r="K52">
        <v>13</v>
      </c>
      <c r="L52">
        <v>-26.816927</v>
      </c>
      <c r="M52">
        <v>-25.379274</v>
      </c>
      <c r="N52">
        <v>0.9999158</v>
      </c>
      <c r="O52" t="str">
        <v>full_year</v>
      </c>
      <c r="P52">
        <f>COUNTIFS('Reportes chatbot'!$D$5:$D$5004,$B52,'Reportes chatbot'!$N$5:$N$5004,"approved",'Reportes chatbot'!$O$5:$O$5004,"si",'Reportes chatbot'!$C$5:$C$5004,"&gt;="&amp;DATE($A52,1,1),'Reportes chatbot'!$C$5:$C$5004,"&lt;"&amp;DATE($A52+1,1,1))</f>
        <v>0</v>
      </c>
    </row>
    <row r="53">
      <c r="A53">
        <v>2020</v>
      </c>
      <c r="B53" t="str">
        <v>09</v>
      </c>
      <c r="C53" t="str">
        <v>Fontibón</v>
      </c>
      <c r="D53">
        <v>5305</v>
      </c>
      <c r="E53">
        <v>5280</v>
      </c>
      <c r="F53">
        <v>380016</v>
      </c>
      <c r="G53">
        <v>1395.993853</v>
      </c>
      <c r="H53">
        <v>1389.415183</v>
      </c>
      <c r="I53">
        <v>0.9952874646559849</v>
      </c>
      <c r="J53">
        <v>6</v>
      </c>
      <c r="K53">
        <v>9</v>
      </c>
      <c r="L53">
        <v>-32.013328</v>
      </c>
      <c r="M53">
        <v>-21.288014</v>
      </c>
      <c r="N53">
        <v>0.9999158</v>
      </c>
      <c r="O53" t="str">
        <v>full_year</v>
      </c>
      <c r="P53">
        <f>COUNTIFS('Reportes chatbot'!$D$5:$D$5004,$B53,'Reportes chatbot'!$N$5:$N$5004,"approved",'Reportes chatbot'!$O$5:$O$5004,"si",'Reportes chatbot'!$C$5:$C$5004,"&gt;="&amp;DATE($A53,1,1),'Reportes chatbot'!$C$5:$C$5004,"&lt;"&amp;DATE($A53+1,1,1))</f>
        <v>0</v>
      </c>
    </row>
    <row r="54">
      <c r="A54">
        <v>2020</v>
      </c>
      <c r="B54" t="str">
        <v>10</v>
      </c>
      <c r="C54" t="str">
        <v>Engativá</v>
      </c>
      <c r="D54">
        <v>9006</v>
      </c>
      <c r="E54">
        <v>12640</v>
      </c>
      <c r="F54">
        <v>821445</v>
      </c>
      <c r="G54">
        <v>1096.360681</v>
      </c>
      <c r="H54">
        <v>1538.751834</v>
      </c>
      <c r="I54">
        <v>1.4035087719298245</v>
      </c>
      <c r="J54">
        <v>2</v>
      </c>
      <c r="K54">
        <v>10</v>
      </c>
      <c r="L54">
        <v>-21.924577</v>
      </c>
      <c r="M54">
        <v>-19.796954</v>
      </c>
      <c r="N54">
        <v>0.9999158</v>
      </c>
      <c r="O54" t="str">
        <v>full_year</v>
      </c>
      <c r="P54">
        <f>COUNTIFS('Reportes chatbot'!$D$5:$D$5004,$B54,'Reportes chatbot'!$N$5:$N$5004,"approved",'Reportes chatbot'!$O$5:$O$5004,"si",'Reportes chatbot'!$C$5:$C$5004,"&gt;="&amp;DATE($A54,1,1),'Reportes chatbot'!$C$5:$C$5004,"&lt;"&amp;DATE($A54+1,1,1))</f>
        <v>0</v>
      </c>
    </row>
    <row r="55">
      <c r="A55">
        <v>2020</v>
      </c>
      <c r="B55" t="str">
        <v>11</v>
      </c>
      <c r="C55" t="str">
        <v>Suba</v>
      </c>
      <c r="D55">
        <v>8818</v>
      </c>
      <c r="E55">
        <v>13107</v>
      </c>
      <c r="F55">
        <v>1209234</v>
      </c>
      <c r="G55">
        <v>729.22197</v>
      </c>
      <c r="H55">
        <v>1083.909318</v>
      </c>
      <c r="I55">
        <v>1.4863914719891131</v>
      </c>
      <c r="J55">
        <v>3</v>
      </c>
      <c r="K55">
        <v>15</v>
      </c>
      <c r="L55">
        <v>-30.610639</v>
      </c>
      <c r="M55">
        <v>-24.105385</v>
      </c>
      <c r="N55">
        <v>0.9999158</v>
      </c>
      <c r="O55" t="str">
        <v>full_year</v>
      </c>
      <c r="P55">
        <f>COUNTIFS('Reportes chatbot'!$D$5:$D$5004,$B55,'Reportes chatbot'!$N$5:$N$5004,"approved",'Reportes chatbot'!$O$5:$O$5004,"si",'Reportes chatbot'!$C$5:$C$5004,"&gt;="&amp;DATE($A55,1,1),'Reportes chatbot'!$C$5:$C$5004,"&lt;"&amp;DATE($A55+1,1,1))</f>
        <v>0</v>
      </c>
    </row>
    <row r="56">
      <c r="A56">
        <v>2020</v>
      </c>
      <c r="B56" t="str">
        <v>12</v>
      </c>
      <c r="C56" t="str">
        <v>Barrios Unidos</v>
      </c>
      <c r="D56">
        <v>3279</v>
      </c>
      <c r="E56">
        <v>3750</v>
      </c>
      <c r="F56">
        <v>136156</v>
      </c>
      <c r="G56">
        <v>2408.266988</v>
      </c>
      <c r="H56">
        <v>2754.193719</v>
      </c>
      <c r="I56">
        <v>1.1436413540713632</v>
      </c>
      <c r="J56">
        <v>13</v>
      </c>
      <c r="K56">
        <v>6</v>
      </c>
      <c r="L56">
        <v>-39.635493</v>
      </c>
      <c r="M56">
        <v>-27.787406</v>
      </c>
      <c r="N56">
        <v>0.9999158</v>
      </c>
      <c r="O56" t="str">
        <v>full_year</v>
      </c>
      <c r="P56">
        <f>COUNTIFS('Reportes chatbot'!$D$5:$D$5004,$B56,'Reportes chatbot'!$N$5:$N$5004,"approved",'Reportes chatbot'!$O$5:$O$5004,"si",'Reportes chatbot'!$C$5:$C$5004,"&gt;="&amp;DATE($A56,1,1),'Reportes chatbot'!$C$5:$C$5004,"&lt;"&amp;DATE($A56+1,1,1))</f>
        <v>0</v>
      </c>
    </row>
    <row r="57">
      <c r="A57">
        <v>2020</v>
      </c>
      <c r="B57" t="str">
        <v>13</v>
      </c>
      <c r="C57" t="str">
        <v>Teusaquillo</v>
      </c>
      <c r="D57">
        <v>3931</v>
      </c>
      <c r="E57">
        <v>3775</v>
      </c>
      <c r="F57">
        <v>150894</v>
      </c>
      <c r="G57">
        <v>2605.140032</v>
      </c>
      <c r="H57">
        <v>2501.7562</v>
      </c>
      <c r="I57">
        <v>0.9603154413635208</v>
      </c>
      <c r="J57">
        <v>9</v>
      </c>
      <c r="K57">
        <v>5</v>
      </c>
      <c r="L57">
        <v>-51.660108</v>
      </c>
      <c r="M57">
        <v>-34.107174</v>
      </c>
      <c r="N57">
        <v>0.9999158</v>
      </c>
      <c r="O57" t="str">
        <v>full_year</v>
      </c>
      <c r="P57">
        <f>COUNTIFS('Reportes chatbot'!$D$5:$D$5004,$B57,'Reportes chatbot'!$N$5:$N$5004,"approved",'Reportes chatbot'!$O$5:$O$5004,"si",'Reportes chatbot'!$C$5:$C$5004,"&gt;="&amp;DATE($A57,1,1),'Reportes chatbot'!$C$5:$C$5004,"&lt;"&amp;DATE($A57+1,1,1))</f>
        <v>0</v>
      </c>
    </row>
    <row r="58">
      <c r="A58">
        <v>2020</v>
      </c>
      <c r="B58" t="str">
        <v>14</v>
      </c>
      <c r="C58" t="str">
        <v>Los Mártires</v>
      </c>
      <c r="D58">
        <v>3362</v>
      </c>
      <c r="E58">
        <v>3793</v>
      </c>
      <c r="F58">
        <v>74833</v>
      </c>
      <c r="G58">
        <v>4492.670346</v>
      </c>
      <c r="H58">
        <v>5068.619459</v>
      </c>
      <c r="I58">
        <v>1.12819750148721</v>
      </c>
      <c r="J58">
        <v>12</v>
      </c>
      <c r="K58">
        <v>2</v>
      </c>
      <c r="L58">
        <v>-38.79483</v>
      </c>
      <c r="M58">
        <v>-15.391479</v>
      </c>
      <c r="N58">
        <v>0.9999158</v>
      </c>
      <c r="O58" t="str">
        <v>full_year</v>
      </c>
      <c r="P58">
        <f>COUNTIFS('Reportes chatbot'!$D$5:$D$5004,$B58,'Reportes chatbot'!$N$5:$N$5004,"approved",'Reportes chatbot'!$O$5:$O$5004,"si",'Reportes chatbot'!$C$5:$C$5004,"&gt;="&amp;DATE($A58,1,1),'Reportes chatbot'!$C$5:$C$5004,"&lt;"&amp;DATE($A58+1,1,1))</f>
        <v>0</v>
      </c>
    </row>
    <row r="59">
      <c r="A59">
        <v>2020</v>
      </c>
      <c r="B59" t="str">
        <v>15</v>
      </c>
      <c r="C59" t="str">
        <v>Antonio Nariño</v>
      </c>
      <c r="D59">
        <v>1909</v>
      </c>
      <c r="E59">
        <v>2612</v>
      </c>
      <c r="F59">
        <v>80010</v>
      </c>
      <c r="G59">
        <v>2385.951756</v>
      </c>
      <c r="H59">
        <v>3264.591926</v>
      </c>
      <c r="I59">
        <v>1.3682556312205343</v>
      </c>
      <c r="J59">
        <v>16</v>
      </c>
      <c r="K59">
        <v>7</v>
      </c>
      <c r="L59">
        <v>-21.115702</v>
      </c>
      <c r="M59">
        <v>-4.357378</v>
      </c>
      <c r="N59">
        <v>0.9999158</v>
      </c>
      <c r="O59" t="str">
        <v>full_year</v>
      </c>
      <c r="P59">
        <f>COUNTIFS('Reportes chatbot'!$D$5:$D$5004,$B59,'Reportes chatbot'!$N$5:$N$5004,"approved",'Reportes chatbot'!$O$5:$O$5004,"si",'Reportes chatbot'!$C$5:$C$5004,"&gt;="&amp;DATE($A59,1,1),'Reportes chatbot'!$C$5:$C$5004,"&lt;"&amp;DATE($A59+1,1,1))</f>
        <v>0</v>
      </c>
    </row>
    <row r="60">
      <c r="A60">
        <v>2020</v>
      </c>
      <c r="B60" t="str">
        <v>16</v>
      </c>
      <c r="C60" t="str">
        <v>Puente Aranda</v>
      </c>
      <c r="D60">
        <v>4257</v>
      </c>
      <c r="E60">
        <v>5526</v>
      </c>
      <c r="F60">
        <v>248966</v>
      </c>
      <c r="G60">
        <v>1709.872031</v>
      </c>
      <c r="H60">
        <v>2219.580184</v>
      </c>
      <c r="I60">
        <v>1.2980972515856237</v>
      </c>
      <c r="J60">
        <v>8</v>
      </c>
      <c r="K60">
        <v>8</v>
      </c>
      <c r="L60">
        <v>-26.654032</v>
      </c>
      <c r="M60">
        <v>-24.435936</v>
      </c>
      <c r="N60">
        <v>0.9999158</v>
      </c>
      <c r="O60" t="str">
        <v>full_year</v>
      </c>
      <c r="P60">
        <f>COUNTIFS('Reportes chatbot'!$D$5:$D$5004,$B60,'Reportes chatbot'!$N$5:$N$5004,"approved",'Reportes chatbot'!$O$5:$O$5004,"si",'Reportes chatbot'!$C$5:$C$5004,"&gt;="&amp;DATE($A60,1,1),'Reportes chatbot'!$C$5:$C$5004,"&lt;"&amp;DATE($A60+1,1,1))</f>
        <v>0</v>
      </c>
    </row>
    <row r="61">
      <c r="A61">
        <v>2020</v>
      </c>
      <c r="B61" t="str">
        <v>17</v>
      </c>
      <c r="C61" t="str">
        <v>La Candelaria</v>
      </c>
      <c r="D61">
        <v>781</v>
      </c>
      <c r="E61">
        <v>511</v>
      </c>
      <c r="F61">
        <v>17177</v>
      </c>
      <c r="G61">
        <v>4546.777668</v>
      </c>
      <c r="H61">
        <v>2974.908308</v>
      </c>
      <c r="I61">
        <v>0.6542893725992317</v>
      </c>
      <c r="J61">
        <v>19</v>
      </c>
      <c r="K61">
        <v>1</v>
      </c>
      <c r="L61">
        <v>-57.646421</v>
      </c>
      <c r="M61">
        <v>-33.027523</v>
      </c>
      <c r="N61">
        <v>0.9999158</v>
      </c>
      <c r="O61" t="str">
        <v>full_year</v>
      </c>
      <c r="P61">
        <f>COUNTIFS('Reportes chatbot'!$D$5:$D$5004,$B61,'Reportes chatbot'!$N$5:$N$5004,"approved",'Reportes chatbot'!$O$5:$O$5004,"si",'Reportes chatbot'!$C$5:$C$5004,"&gt;="&amp;DATE($A61,1,1),'Reportes chatbot'!$C$5:$C$5004,"&lt;"&amp;DATE($A61+1,1,1))</f>
        <v>0</v>
      </c>
    </row>
    <row r="62">
      <c r="A62">
        <v>2020</v>
      </c>
      <c r="B62" t="str">
        <v>18</v>
      </c>
      <c r="C62" t="str">
        <v>Rafael Uribe Uribe</v>
      </c>
      <c r="D62">
        <v>2990</v>
      </c>
      <c r="E62">
        <v>5443</v>
      </c>
      <c r="F62">
        <v>374791</v>
      </c>
      <c r="G62">
        <v>797.777962</v>
      </c>
      <c r="H62">
        <v>1452.276069</v>
      </c>
      <c r="I62">
        <v>1.8204013377926422</v>
      </c>
      <c r="J62">
        <v>14</v>
      </c>
      <c r="K62">
        <v>14</v>
      </c>
      <c r="L62">
        <v>-25.156446</v>
      </c>
      <c r="M62">
        <v>-18.493561</v>
      </c>
      <c r="N62">
        <v>0.9999158</v>
      </c>
      <c r="O62" t="str">
        <v>full_year</v>
      </c>
      <c r="P62">
        <f>COUNTIFS('Reportes chatbot'!$D$5:$D$5004,$B62,'Reportes chatbot'!$N$5:$N$5004,"approved",'Reportes chatbot'!$O$5:$O$5004,"si",'Reportes chatbot'!$C$5:$C$5004,"&gt;="&amp;DATE($A62,1,1),'Reportes chatbot'!$C$5:$C$5004,"&lt;"&amp;DATE($A62+1,1,1))</f>
        <v>0</v>
      </c>
    </row>
    <row r="63">
      <c r="A63">
        <v>2020</v>
      </c>
      <c r="B63" t="str">
        <v>19</v>
      </c>
      <c r="C63" t="str">
        <v>Ciudad Bolívar</v>
      </c>
      <c r="D63">
        <v>3633</v>
      </c>
      <c r="E63">
        <v>7154</v>
      </c>
      <c r="F63">
        <v>642109</v>
      </c>
      <c r="G63">
        <v>565.791789</v>
      </c>
      <c r="H63">
        <v>1114.141057</v>
      </c>
      <c r="I63">
        <v>1.9691714836223506</v>
      </c>
      <c r="J63">
        <v>11</v>
      </c>
      <c r="K63">
        <v>18</v>
      </c>
      <c r="L63">
        <v>-13.376252</v>
      </c>
      <c r="M63">
        <v>-16.629763</v>
      </c>
      <c r="N63">
        <v>0.9999158</v>
      </c>
      <c r="O63" t="str">
        <v>full_year</v>
      </c>
      <c r="P63">
        <f>COUNTIFS('Reportes chatbot'!$D$5:$D$5004,$B63,'Reportes chatbot'!$N$5:$N$5004,"approved",'Reportes chatbot'!$O$5:$O$5004,"si",'Reportes chatbot'!$C$5:$C$5004,"&gt;="&amp;DATE($A63,1,1),'Reportes chatbot'!$C$5:$C$5004,"&lt;"&amp;DATE($A63+1,1,1))</f>
        <v>0</v>
      </c>
    </row>
    <row r="64">
      <c r="A64">
        <v>2020</v>
      </c>
      <c r="B64" t="str">
        <v>20</v>
      </c>
      <c r="C64" t="str">
        <v>Sumapaz</v>
      </c>
      <c r="D64">
        <v>2</v>
      </c>
      <c r="E64">
        <v>0</v>
      </c>
      <c r="F64">
        <v>3240</v>
      </c>
      <c r="G64">
        <v>61.728395</v>
      </c>
      <c r="H64">
        <v>0</v>
      </c>
      <c r="I64">
        <v>0</v>
      </c>
      <c r="J64">
        <v>20</v>
      </c>
      <c r="K64">
        <v>20</v>
      </c>
      <c r="L64" t="str">
        <v>inf</v>
      </c>
      <c r="M64">
        <v>-100</v>
      </c>
      <c r="N64">
        <v>0.9999158</v>
      </c>
      <c r="O64" t="str">
        <v>full_year</v>
      </c>
      <c r="P64">
        <f>COUNTIFS('Reportes chatbot'!$D$5:$D$5004,$B64,'Reportes chatbot'!$N$5:$N$5004,"approved",'Reportes chatbot'!$O$5:$O$5004,"si",'Reportes chatbot'!$C$5:$C$5004,"&gt;="&amp;DATE($A64,1,1),'Reportes chatbot'!$C$5:$C$5004,"&lt;"&amp;DATE($A64+1,1,1))</f>
        <v>0</v>
      </c>
    </row>
    <row r="65">
      <c r="A65">
        <v>2021</v>
      </c>
      <c r="B65" t="str">
        <v>01</v>
      </c>
      <c r="C65" t="str">
        <v>Usaquén</v>
      </c>
      <c r="D65">
        <v>7734</v>
      </c>
      <c r="E65">
        <v>8443</v>
      </c>
      <c r="F65">
        <v>580157</v>
      </c>
      <c r="G65">
        <v>1333.087423</v>
      </c>
      <c r="H65">
        <v>1455.295722</v>
      </c>
      <c r="I65">
        <v>1.091673131626584</v>
      </c>
      <c r="J65">
        <v>5</v>
      </c>
      <c r="K65">
        <v>12</v>
      </c>
      <c r="L65">
        <v>25.878906</v>
      </c>
      <c r="M65">
        <v>14.419298</v>
      </c>
      <c r="N65">
        <v>0.99958634</v>
      </c>
      <c r="O65" t="str">
        <v>full_year</v>
      </c>
      <c r="P65">
        <f>COUNTIFS('Reportes chatbot'!$D$5:$D$5004,$B65,'Reportes chatbot'!$N$5:$N$5004,"approved",'Reportes chatbot'!$O$5:$O$5004,"si",'Reportes chatbot'!$C$5:$C$5004,"&gt;="&amp;DATE($A65,1,1),'Reportes chatbot'!$C$5:$C$5004,"&lt;"&amp;DATE($A65+1,1,1))</f>
        <v>0</v>
      </c>
    </row>
    <row r="66">
      <c r="A66">
        <v>2021</v>
      </c>
      <c r="B66" t="str">
        <v>02</v>
      </c>
      <c r="C66" t="str">
        <v>Chapinero</v>
      </c>
      <c r="D66">
        <v>8424</v>
      </c>
      <c r="E66">
        <v>5060</v>
      </c>
      <c r="F66">
        <v>162226</v>
      </c>
      <c r="G66">
        <v>5192.755785</v>
      </c>
      <c r="H66">
        <v>3119.105445</v>
      </c>
      <c r="I66">
        <v>0.600664767331434</v>
      </c>
      <c r="J66">
        <v>4</v>
      </c>
      <c r="K66">
        <v>3</v>
      </c>
      <c r="L66">
        <v>56.900726</v>
      </c>
      <c r="M66">
        <v>42.454955</v>
      </c>
      <c r="N66">
        <v>0.99958634</v>
      </c>
      <c r="O66" t="str">
        <v>full_year</v>
      </c>
      <c r="P66">
        <f>COUNTIFS('Reportes chatbot'!$D$5:$D$5004,$B66,'Reportes chatbot'!$N$5:$N$5004,"approved",'Reportes chatbot'!$O$5:$O$5004,"si",'Reportes chatbot'!$C$5:$C$5004,"&gt;="&amp;DATE($A66,1,1),'Reportes chatbot'!$C$5:$C$5004,"&lt;"&amp;DATE($A66+1,1,1))</f>
        <v>0</v>
      </c>
    </row>
    <row r="67">
      <c r="A67">
        <v>2021</v>
      </c>
      <c r="B67" t="str">
        <v>03</v>
      </c>
      <c r="C67" t="str">
        <v>Santa Fe</v>
      </c>
      <c r="D67">
        <v>4813</v>
      </c>
      <c r="E67">
        <v>4181</v>
      </c>
      <c r="F67">
        <v>110770</v>
      </c>
      <c r="G67">
        <v>4345.039271</v>
      </c>
      <c r="H67">
        <v>3774.487677</v>
      </c>
      <c r="I67">
        <v>0.8686889673800124</v>
      </c>
      <c r="J67">
        <v>11</v>
      </c>
      <c r="K67">
        <v>4</v>
      </c>
      <c r="L67">
        <v>22.749299</v>
      </c>
      <c r="M67">
        <v>29.282622</v>
      </c>
      <c r="N67">
        <v>0.99958634</v>
      </c>
      <c r="O67" t="str">
        <v>full_year</v>
      </c>
      <c r="P67">
        <f>COUNTIFS('Reportes chatbot'!$D$5:$D$5004,$B67,'Reportes chatbot'!$N$5:$N$5004,"approved",'Reportes chatbot'!$O$5:$O$5004,"si",'Reportes chatbot'!$C$5:$C$5004,"&gt;="&amp;DATE($A67,1,1),'Reportes chatbot'!$C$5:$C$5004,"&lt;"&amp;DATE($A67+1,1,1))</f>
        <v>0</v>
      </c>
    </row>
    <row r="68">
      <c r="A68">
        <v>2021</v>
      </c>
      <c r="B68" t="str">
        <v>04</v>
      </c>
      <c r="C68" t="str">
        <v>San Cristóbal</v>
      </c>
      <c r="D68">
        <v>3305</v>
      </c>
      <c r="E68">
        <v>6514</v>
      </c>
      <c r="F68">
        <v>394779</v>
      </c>
      <c r="G68">
        <v>837.177256</v>
      </c>
      <c r="H68">
        <v>1650.037109</v>
      </c>
      <c r="I68">
        <v>1.9709531013615733</v>
      </c>
      <c r="J68">
        <v>15</v>
      </c>
      <c r="K68">
        <v>17</v>
      </c>
      <c r="L68">
        <v>28.799688</v>
      </c>
      <c r="M68">
        <v>21.078067</v>
      </c>
      <c r="N68">
        <v>0.99958634</v>
      </c>
      <c r="O68" t="str">
        <v>full_year</v>
      </c>
      <c r="P68">
        <f>COUNTIFS('Reportes chatbot'!$D$5:$D$5004,$B68,'Reportes chatbot'!$N$5:$N$5004,"approved",'Reportes chatbot'!$O$5:$O$5004,"si",'Reportes chatbot'!$C$5:$C$5004,"&gt;="&amp;DATE($A68,1,1),'Reportes chatbot'!$C$5:$C$5004,"&lt;"&amp;DATE($A68+1,1,1))</f>
        <v>0</v>
      </c>
    </row>
    <row r="69">
      <c r="A69">
        <v>2021</v>
      </c>
      <c r="B69" t="str">
        <v>05</v>
      </c>
      <c r="C69" t="str">
        <v>Usme</v>
      </c>
      <c r="D69">
        <v>2340</v>
      </c>
      <c r="E69">
        <v>4710</v>
      </c>
      <c r="F69">
        <v>384340</v>
      </c>
      <c r="G69">
        <v>608.835927</v>
      </c>
      <c r="H69">
        <v>1225.477442</v>
      </c>
      <c r="I69">
        <v>2.0128205128205128</v>
      </c>
      <c r="J69">
        <v>18</v>
      </c>
      <c r="K69">
        <v>19</v>
      </c>
      <c r="L69">
        <v>24.203822</v>
      </c>
      <c r="M69">
        <v>26.988407</v>
      </c>
      <c r="N69">
        <v>0.99958634</v>
      </c>
      <c r="O69" t="str">
        <v>full_year</v>
      </c>
      <c r="P69">
        <f>COUNTIFS('Reportes chatbot'!$D$5:$D$5004,$B69,'Reportes chatbot'!$N$5:$N$5004,"approved",'Reportes chatbot'!$O$5:$O$5004,"si",'Reportes chatbot'!$C$5:$C$5004,"&gt;="&amp;DATE($A69,1,1),'Reportes chatbot'!$C$5:$C$5004,"&lt;"&amp;DATE($A69+1,1,1))</f>
        <v>0</v>
      </c>
    </row>
    <row r="70">
      <c r="A70">
        <v>2021</v>
      </c>
      <c r="B70" t="str">
        <v>06</v>
      </c>
      <c r="C70" t="str">
        <v>Tunjuelito</v>
      </c>
      <c r="D70">
        <v>2426</v>
      </c>
      <c r="E70">
        <v>3278</v>
      </c>
      <c r="F70">
        <v>176572</v>
      </c>
      <c r="G70">
        <v>1373.943774</v>
      </c>
      <c r="H70">
        <v>1856.466484</v>
      </c>
      <c r="I70">
        <v>1.3511953833470733</v>
      </c>
      <c r="J70">
        <v>17</v>
      </c>
      <c r="K70">
        <v>11</v>
      </c>
      <c r="L70">
        <v>27.349081</v>
      </c>
      <c r="M70">
        <v>23.140496</v>
      </c>
      <c r="N70">
        <v>0.99958634</v>
      </c>
      <c r="O70" t="str">
        <v>full_year</v>
      </c>
      <c r="P70">
        <f>COUNTIFS('Reportes chatbot'!$D$5:$D$5004,$B70,'Reportes chatbot'!$N$5:$N$5004,"approved",'Reportes chatbot'!$O$5:$O$5004,"si",'Reportes chatbot'!$C$5:$C$5004,"&gt;="&amp;DATE($A70,1,1),'Reportes chatbot'!$C$5:$C$5004,"&lt;"&amp;DATE($A70+1,1,1))</f>
        <v>0</v>
      </c>
    </row>
    <row r="71">
      <c r="A71">
        <v>2021</v>
      </c>
      <c r="B71" t="str">
        <v>07</v>
      </c>
      <c r="C71" t="str">
        <v>Bosa</v>
      </c>
      <c r="D71">
        <v>6205</v>
      </c>
      <c r="E71">
        <v>10217</v>
      </c>
      <c r="F71">
        <v>734625</v>
      </c>
      <c r="G71">
        <v>844.64863</v>
      </c>
      <c r="H71">
        <v>1390.777608</v>
      </c>
      <c r="I71">
        <v>1.6465753424657534</v>
      </c>
      <c r="J71">
        <v>7</v>
      </c>
      <c r="K71">
        <v>16</v>
      </c>
      <c r="L71">
        <v>37.400354</v>
      </c>
      <c r="M71">
        <v>25.856122</v>
      </c>
      <c r="N71">
        <v>0.99958634</v>
      </c>
      <c r="O71" t="str">
        <v>full_year</v>
      </c>
      <c r="P71">
        <f>COUNTIFS('Reportes chatbot'!$D$5:$D$5004,$B71,'Reportes chatbot'!$N$5:$N$5004,"approved",'Reportes chatbot'!$O$5:$O$5004,"si",'Reportes chatbot'!$C$5:$C$5004,"&gt;="&amp;DATE($A71,1,1),'Reportes chatbot'!$C$5:$C$5004,"&lt;"&amp;DATE($A71+1,1,1))</f>
        <v>0</v>
      </c>
    </row>
    <row r="72">
      <c r="A72">
        <v>2021</v>
      </c>
      <c r="B72" t="str">
        <v>08</v>
      </c>
      <c r="C72" t="str">
        <v>Kennedy</v>
      </c>
      <c r="D72">
        <v>11981</v>
      </c>
      <c r="E72">
        <v>18609</v>
      </c>
      <c r="F72">
        <v>1079757</v>
      </c>
      <c r="G72">
        <v>1109.601512</v>
      </c>
      <c r="H72">
        <v>1723.44333</v>
      </c>
      <c r="I72">
        <v>1.553209247975962</v>
      </c>
      <c r="J72">
        <v>1</v>
      </c>
      <c r="K72">
        <v>13</v>
      </c>
      <c r="L72">
        <v>25.508066</v>
      </c>
      <c r="M72">
        <v>33.216408</v>
      </c>
      <c r="N72">
        <v>0.99958634</v>
      </c>
      <c r="O72" t="str">
        <v>full_year</v>
      </c>
      <c r="P72">
        <f>COUNTIFS('Reportes chatbot'!$D$5:$D$5004,$B72,'Reportes chatbot'!$N$5:$N$5004,"approved",'Reportes chatbot'!$O$5:$O$5004,"si",'Reportes chatbot'!$C$5:$C$5004,"&gt;="&amp;DATE($A72,1,1),'Reportes chatbot'!$C$5:$C$5004,"&lt;"&amp;DATE($A72+1,1,1))</f>
        <v>0</v>
      </c>
    </row>
    <row r="73">
      <c r="A73">
        <v>2021</v>
      </c>
      <c r="B73" t="str">
        <v>09</v>
      </c>
      <c r="C73" t="str">
        <v>Fontibón</v>
      </c>
      <c r="D73">
        <v>7013</v>
      </c>
      <c r="E73">
        <v>6285</v>
      </c>
      <c r="F73">
        <v>383478</v>
      </c>
      <c r="G73">
        <v>1828.788092</v>
      </c>
      <c r="H73">
        <v>1638.946693</v>
      </c>
      <c r="I73">
        <v>0.8961927848281762</v>
      </c>
      <c r="J73">
        <v>6</v>
      </c>
      <c r="K73">
        <v>9</v>
      </c>
      <c r="L73">
        <v>32.196041</v>
      </c>
      <c r="M73">
        <v>19.034091</v>
      </c>
      <c r="N73">
        <v>0.99958634</v>
      </c>
      <c r="O73" t="str">
        <v>full_year</v>
      </c>
      <c r="P73">
        <f>COUNTIFS('Reportes chatbot'!$D$5:$D$5004,$B73,'Reportes chatbot'!$N$5:$N$5004,"approved",'Reportes chatbot'!$O$5:$O$5004,"si",'Reportes chatbot'!$C$5:$C$5004,"&gt;="&amp;DATE($A73,1,1),'Reportes chatbot'!$C$5:$C$5004,"&lt;"&amp;DATE($A73+1,1,1))</f>
        <v>0</v>
      </c>
    </row>
    <row r="74">
      <c r="A74">
        <v>2021</v>
      </c>
      <c r="B74" t="str">
        <v>10</v>
      </c>
      <c r="C74" t="str">
        <v>Engativá</v>
      </c>
      <c r="D74">
        <v>11734</v>
      </c>
      <c r="E74">
        <v>16624</v>
      </c>
      <c r="F74">
        <v>827889</v>
      </c>
      <c r="G74">
        <v>1417.339764</v>
      </c>
      <c r="H74">
        <v>2007.998657</v>
      </c>
      <c r="I74">
        <v>1.4167376853587865</v>
      </c>
      <c r="J74">
        <v>2</v>
      </c>
      <c r="K74">
        <v>10</v>
      </c>
      <c r="L74">
        <v>30.290917</v>
      </c>
      <c r="M74">
        <v>31.518987</v>
      </c>
      <c r="N74">
        <v>0.99958634</v>
      </c>
      <c r="O74" t="str">
        <v>full_year</v>
      </c>
      <c r="P74">
        <f>COUNTIFS('Reportes chatbot'!$D$5:$D$5004,$B74,'Reportes chatbot'!$N$5:$N$5004,"approved",'Reportes chatbot'!$O$5:$O$5004,"si",'Reportes chatbot'!$C$5:$C$5004,"&gt;="&amp;DATE($A74,1,1),'Reportes chatbot'!$C$5:$C$5004,"&lt;"&amp;DATE($A74+1,1,1))</f>
        <v>0</v>
      </c>
    </row>
    <row r="75">
      <c r="A75">
        <v>2021</v>
      </c>
      <c r="B75" t="str">
        <v>11</v>
      </c>
      <c r="C75" t="str">
        <v>Suba</v>
      </c>
      <c r="D75">
        <v>10897</v>
      </c>
      <c r="E75">
        <v>16254</v>
      </c>
      <c r="F75">
        <v>1225782</v>
      </c>
      <c r="G75">
        <v>888.983522</v>
      </c>
      <c r="H75">
        <v>1326.010661</v>
      </c>
      <c r="I75">
        <v>1.4916031935395062</v>
      </c>
      <c r="J75">
        <v>3</v>
      </c>
      <c r="K75">
        <v>15</v>
      </c>
      <c r="L75">
        <v>23.576775</v>
      </c>
      <c r="M75">
        <v>24.010071</v>
      </c>
      <c r="N75">
        <v>0.99958634</v>
      </c>
      <c r="O75" t="str">
        <v>full_year</v>
      </c>
      <c r="P75">
        <f>COUNTIFS('Reportes chatbot'!$D$5:$D$5004,$B75,'Reportes chatbot'!$N$5:$N$5004,"approved",'Reportes chatbot'!$O$5:$O$5004,"si",'Reportes chatbot'!$C$5:$C$5004,"&gt;="&amp;DATE($A75,1,1),'Reportes chatbot'!$C$5:$C$5004,"&lt;"&amp;DATE($A75+1,1,1))</f>
        <v>0</v>
      </c>
    </row>
    <row r="76">
      <c r="A76">
        <v>2021</v>
      </c>
      <c r="B76" t="str">
        <v>12</v>
      </c>
      <c r="C76" t="str">
        <v>Barrios Unidos</v>
      </c>
      <c r="D76">
        <v>4264</v>
      </c>
      <c r="E76">
        <v>5019</v>
      </c>
      <c r="F76">
        <v>136620</v>
      </c>
      <c r="G76">
        <v>3121.06573</v>
      </c>
      <c r="H76">
        <v>3673.693456</v>
      </c>
      <c r="I76">
        <v>1.177063789868668</v>
      </c>
      <c r="J76">
        <v>13</v>
      </c>
      <c r="K76">
        <v>6</v>
      </c>
      <c r="L76">
        <v>30.039646</v>
      </c>
      <c r="M76">
        <v>33.84</v>
      </c>
      <c r="N76">
        <v>0.99958634</v>
      </c>
      <c r="O76" t="str">
        <v>full_year</v>
      </c>
      <c r="P76">
        <f>COUNTIFS('Reportes chatbot'!$D$5:$D$5004,$B76,'Reportes chatbot'!$N$5:$N$5004,"approved",'Reportes chatbot'!$O$5:$O$5004,"si",'Reportes chatbot'!$C$5:$C$5004,"&gt;="&amp;DATE($A76,1,1),'Reportes chatbot'!$C$5:$C$5004,"&lt;"&amp;DATE($A76+1,1,1))</f>
        <v>0</v>
      </c>
    </row>
    <row r="77">
      <c r="A77">
        <v>2021</v>
      </c>
      <c r="B77" t="str">
        <v>13</v>
      </c>
      <c r="C77" t="str">
        <v>Teusaquillo</v>
      </c>
      <c r="D77">
        <v>5296</v>
      </c>
      <c r="E77">
        <v>5142</v>
      </c>
      <c r="F77">
        <v>153033</v>
      </c>
      <c r="G77">
        <v>3460.691485</v>
      </c>
      <c r="H77">
        <v>3360.059595</v>
      </c>
      <c r="I77">
        <v>0.9709214501510574</v>
      </c>
      <c r="J77">
        <v>9</v>
      </c>
      <c r="K77">
        <v>5</v>
      </c>
      <c r="L77">
        <v>34.723989</v>
      </c>
      <c r="M77">
        <v>36.211921</v>
      </c>
      <c r="N77">
        <v>0.99958634</v>
      </c>
      <c r="O77" t="str">
        <v>full_year</v>
      </c>
      <c r="P77">
        <f>COUNTIFS('Reportes chatbot'!$D$5:$D$5004,$B77,'Reportes chatbot'!$N$5:$N$5004,"approved",'Reportes chatbot'!$O$5:$O$5004,"si",'Reportes chatbot'!$C$5:$C$5004,"&gt;="&amp;DATE($A77,1,1),'Reportes chatbot'!$C$5:$C$5004,"&lt;"&amp;DATE($A77+1,1,1))</f>
        <v>0</v>
      </c>
    </row>
    <row r="78">
      <c r="A78">
        <v>2021</v>
      </c>
      <c r="B78" t="str">
        <v>14</v>
      </c>
      <c r="C78" t="str">
        <v>Los Mártires</v>
      </c>
      <c r="D78">
        <v>4364</v>
      </c>
      <c r="E78">
        <v>4655</v>
      </c>
      <c r="F78">
        <v>75149</v>
      </c>
      <c r="G78">
        <v>5807.129835</v>
      </c>
      <c r="H78">
        <v>6194.360537</v>
      </c>
      <c r="I78">
        <v>1.0666819431714023</v>
      </c>
      <c r="J78">
        <v>12</v>
      </c>
      <c r="K78">
        <v>1</v>
      </c>
      <c r="L78">
        <v>29.803688</v>
      </c>
      <c r="M78">
        <v>22.726074</v>
      </c>
      <c r="N78">
        <v>0.99958634</v>
      </c>
      <c r="O78" t="str">
        <v>full_year</v>
      </c>
      <c r="P78">
        <f>COUNTIFS('Reportes chatbot'!$D$5:$D$5004,$B78,'Reportes chatbot'!$N$5:$N$5004,"approved",'Reportes chatbot'!$O$5:$O$5004,"si",'Reportes chatbot'!$C$5:$C$5004,"&gt;="&amp;DATE($A78,1,1),'Reportes chatbot'!$C$5:$C$5004,"&lt;"&amp;DATE($A78+1,1,1))</f>
        <v>0</v>
      </c>
    </row>
    <row r="79">
      <c r="A79">
        <v>2021</v>
      </c>
      <c r="B79" t="str">
        <v>15</v>
      </c>
      <c r="C79" t="str">
        <v>Antonio Nariño</v>
      </c>
      <c r="D79">
        <v>2482</v>
      </c>
      <c r="E79">
        <v>3201</v>
      </c>
      <c r="F79">
        <v>79768</v>
      </c>
      <c r="G79">
        <v>3111.523418</v>
      </c>
      <c r="H79">
        <v>4012.887373</v>
      </c>
      <c r="I79">
        <v>1.2896857373086221</v>
      </c>
      <c r="J79">
        <v>16</v>
      </c>
      <c r="K79">
        <v>7</v>
      </c>
      <c r="L79">
        <v>30.015715</v>
      </c>
      <c r="M79">
        <v>22.54977</v>
      </c>
      <c r="N79">
        <v>0.99958634</v>
      </c>
      <c r="O79" t="str">
        <v>full_year</v>
      </c>
      <c r="P79">
        <f>COUNTIFS('Reportes chatbot'!$D$5:$D$5004,$B79,'Reportes chatbot'!$N$5:$N$5004,"approved",'Reportes chatbot'!$O$5:$O$5004,"si",'Reportes chatbot'!$C$5:$C$5004,"&gt;="&amp;DATE($A79,1,1),'Reportes chatbot'!$C$5:$C$5004,"&lt;"&amp;DATE($A79+1,1,1))</f>
        <v>0</v>
      </c>
    </row>
    <row r="80">
      <c r="A80">
        <v>2021</v>
      </c>
      <c r="B80" t="str">
        <v>16</v>
      </c>
      <c r="C80" t="str">
        <v>Puente Aranda</v>
      </c>
      <c r="D80">
        <v>5468</v>
      </c>
      <c r="E80">
        <v>6820</v>
      </c>
      <c r="F80">
        <v>249985</v>
      </c>
      <c r="G80">
        <v>2187.33124</v>
      </c>
      <c r="H80">
        <v>2728.16369</v>
      </c>
      <c r="I80">
        <v>1.2472567666422825</v>
      </c>
      <c r="J80">
        <v>8</v>
      </c>
      <c r="K80">
        <v>8</v>
      </c>
      <c r="L80">
        <v>28.447263</v>
      </c>
      <c r="M80">
        <v>23.416576</v>
      </c>
      <c r="N80">
        <v>0.99958634</v>
      </c>
      <c r="O80" t="str">
        <v>full_year</v>
      </c>
      <c r="P80">
        <f>COUNTIFS('Reportes chatbot'!$D$5:$D$5004,$B80,'Reportes chatbot'!$N$5:$N$5004,"approved",'Reportes chatbot'!$O$5:$O$5004,"si",'Reportes chatbot'!$C$5:$C$5004,"&gt;="&amp;DATE($A80,1,1),'Reportes chatbot'!$C$5:$C$5004,"&lt;"&amp;DATE($A80+1,1,1))</f>
        <v>0</v>
      </c>
    </row>
    <row r="81">
      <c r="A81">
        <v>2021</v>
      </c>
      <c r="B81" t="str">
        <v>17</v>
      </c>
      <c r="C81" t="str">
        <v>La Candelaria</v>
      </c>
      <c r="D81">
        <v>973</v>
      </c>
      <c r="E81">
        <v>502</v>
      </c>
      <c r="F81">
        <v>17061</v>
      </c>
      <c r="G81">
        <v>5703.065471</v>
      </c>
      <c r="H81">
        <v>2942.383213</v>
      </c>
      <c r="I81">
        <v>0.5159301130524152</v>
      </c>
      <c r="J81">
        <v>19</v>
      </c>
      <c r="K81">
        <v>2</v>
      </c>
      <c r="L81">
        <v>24.583867</v>
      </c>
      <c r="M81">
        <v>-1.761252</v>
      </c>
      <c r="N81">
        <v>0.99958634</v>
      </c>
      <c r="O81" t="str">
        <v>full_year</v>
      </c>
      <c r="P81">
        <f>COUNTIFS('Reportes chatbot'!$D$5:$D$5004,$B81,'Reportes chatbot'!$N$5:$N$5004,"approved",'Reportes chatbot'!$O$5:$O$5004,"si",'Reportes chatbot'!$C$5:$C$5004,"&gt;="&amp;DATE($A81,1,1),'Reportes chatbot'!$C$5:$C$5004,"&lt;"&amp;DATE($A81+1,1,1))</f>
        <v>0</v>
      </c>
    </row>
    <row r="82">
      <c r="A82">
        <v>2021</v>
      </c>
      <c r="B82" t="str">
        <v>18</v>
      </c>
      <c r="C82" t="str">
        <v>Rafael Uribe Uribe</v>
      </c>
      <c r="D82">
        <v>4020</v>
      </c>
      <c r="E82">
        <v>6749</v>
      </c>
      <c r="F82">
        <v>376325</v>
      </c>
      <c r="G82">
        <v>1068.225603</v>
      </c>
      <c r="H82">
        <v>1793.396665</v>
      </c>
      <c r="I82">
        <v>1.6788557213930348</v>
      </c>
      <c r="J82">
        <v>14</v>
      </c>
      <c r="K82">
        <v>14</v>
      </c>
      <c r="L82">
        <v>34.448161</v>
      </c>
      <c r="M82">
        <v>23.994121</v>
      </c>
      <c r="N82">
        <v>0.99958634</v>
      </c>
      <c r="O82" t="str">
        <v>full_year</v>
      </c>
      <c r="P82">
        <f>COUNTIFS('Reportes chatbot'!$D$5:$D$5004,$B82,'Reportes chatbot'!$N$5:$N$5004,"approved",'Reportes chatbot'!$O$5:$O$5004,"si",'Reportes chatbot'!$C$5:$C$5004,"&gt;="&amp;DATE($A82,1,1),'Reportes chatbot'!$C$5:$C$5004,"&lt;"&amp;DATE($A82+1,1,1))</f>
        <v>0</v>
      </c>
    </row>
    <row r="83">
      <c r="A83">
        <v>2021</v>
      </c>
      <c r="B83" t="str">
        <v>19</v>
      </c>
      <c r="C83" t="str">
        <v>Ciudad Bolívar</v>
      </c>
      <c r="D83">
        <v>5000</v>
      </c>
      <c r="E83">
        <v>9466</v>
      </c>
      <c r="F83">
        <v>653362</v>
      </c>
      <c r="G83">
        <v>765.272544</v>
      </c>
      <c r="H83">
        <v>1448.813981</v>
      </c>
      <c r="I83">
        <v>1.8932</v>
      </c>
      <c r="J83">
        <v>10</v>
      </c>
      <c r="K83">
        <v>18</v>
      </c>
      <c r="L83">
        <v>37.627305</v>
      </c>
      <c r="M83">
        <v>32.317585</v>
      </c>
      <c r="N83">
        <v>0.99958634</v>
      </c>
      <c r="O83" t="str">
        <v>full_year</v>
      </c>
      <c r="P83">
        <f>COUNTIFS('Reportes chatbot'!$D$5:$D$5004,$B83,'Reportes chatbot'!$N$5:$N$5004,"approved",'Reportes chatbot'!$O$5:$O$5004,"si",'Reportes chatbot'!$C$5:$C$5004,"&gt;="&amp;DATE($A83,1,1),'Reportes chatbot'!$C$5:$C$5004,"&lt;"&amp;DATE($A83+1,1,1))</f>
        <v>0</v>
      </c>
    </row>
    <row r="84">
      <c r="A84">
        <v>2021</v>
      </c>
      <c r="B84" t="str">
        <v>20</v>
      </c>
      <c r="C84" t="str">
        <v>Sumapaz</v>
      </c>
      <c r="D84">
        <v>1</v>
      </c>
      <c r="E84">
        <v>9</v>
      </c>
      <c r="F84">
        <v>3242</v>
      </c>
      <c r="G84">
        <v>30.845157</v>
      </c>
      <c r="H84">
        <v>277.606416</v>
      </c>
      <c r="I84">
        <v>9</v>
      </c>
      <c r="J84">
        <v>20</v>
      </c>
      <c r="K84">
        <v>20</v>
      </c>
      <c r="L84">
        <v>-50</v>
      </c>
      <c r="M84" t="str">
        <v>inf</v>
      </c>
      <c r="N84">
        <v>0.99958634</v>
      </c>
      <c r="O84" t="str">
        <v>full_year</v>
      </c>
      <c r="P84">
        <f>COUNTIFS('Reportes chatbot'!$D$5:$D$5004,$B84,'Reportes chatbot'!$N$5:$N$5004,"approved",'Reportes chatbot'!$O$5:$O$5004,"si",'Reportes chatbot'!$C$5:$C$5004,"&gt;="&amp;DATE($A84,1,1),'Reportes chatbot'!$C$5:$C$5004,"&lt;"&amp;DATE($A84+1,1,1))</f>
        <v>0</v>
      </c>
    </row>
    <row r="85">
      <c r="A85">
        <v>2022</v>
      </c>
      <c r="B85" t="str">
        <v>01</v>
      </c>
      <c r="C85" t="str">
        <v>Usaquén</v>
      </c>
      <c r="D85">
        <v>9314</v>
      </c>
      <c r="E85">
        <v>8627</v>
      </c>
      <c r="F85">
        <v>583301</v>
      </c>
      <c r="G85">
        <v>1596.774221</v>
      </c>
      <c r="H85">
        <v>1478.996264</v>
      </c>
      <c r="I85">
        <v>0.9262400687137642</v>
      </c>
      <c r="J85">
        <v>5</v>
      </c>
      <c r="K85">
        <v>11</v>
      </c>
      <c r="L85">
        <v>20.429273</v>
      </c>
      <c r="M85">
        <v>2.17932</v>
      </c>
      <c r="N85">
        <v>0.99989791</v>
      </c>
      <c r="O85" t="str">
        <v>full_year</v>
      </c>
      <c r="P85">
        <f>COUNTIFS('Reportes chatbot'!$D$5:$D$5004,$B85,'Reportes chatbot'!$N$5:$N$5004,"approved",'Reportes chatbot'!$O$5:$O$5004,"si",'Reportes chatbot'!$C$5:$C$5004,"&gt;="&amp;DATE($A85,1,1),'Reportes chatbot'!$C$5:$C$5004,"&lt;"&amp;DATE($A85+1,1,1))</f>
        <v>0</v>
      </c>
    </row>
    <row r="86">
      <c r="A86">
        <v>2022</v>
      </c>
      <c r="B86" t="str">
        <v>02</v>
      </c>
      <c r="C86" t="str">
        <v>Chapinero</v>
      </c>
      <c r="D86">
        <v>11994</v>
      </c>
      <c r="E86">
        <v>5970</v>
      </c>
      <c r="F86">
        <v>162213</v>
      </c>
      <c r="G86">
        <v>7393.981987</v>
      </c>
      <c r="H86">
        <v>3680.346211</v>
      </c>
      <c r="I86">
        <v>0.4977488744372186</v>
      </c>
      <c r="J86">
        <v>4</v>
      </c>
      <c r="K86">
        <v>3</v>
      </c>
      <c r="L86">
        <v>42.378917</v>
      </c>
      <c r="M86">
        <v>17.98419</v>
      </c>
      <c r="N86">
        <v>0.99989791</v>
      </c>
      <c r="O86" t="str">
        <v>full_year</v>
      </c>
      <c r="P86">
        <f>COUNTIFS('Reportes chatbot'!$D$5:$D$5004,$B86,'Reportes chatbot'!$N$5:$N$5004,"approved",'Reportes chatbot'!$O$5:$O$5004,"si",'Reportes chatbot'!$C$5:$C$5004,"&gt;="&amp;DATE($A86,1,1),'Reportes chatbot'!$C$5:$C$5004,"&lt;"&amp;DATE($A86+1,1,1))</f>
        <v>0</v>
      </c>
    </row>
    <row r="87">
      <c r="A87">
        <v>2022</v>
      </c>
      <c r="B87" t="str">
        <v>03</v>
      </c>
      <c r="C87" t="str">
        <v>Santa Fe</v>
      </c>
      <c r="D87">
        <v>7639</v>
      </c>
      <c r="E87">
        <v>4547</v>
      </c>
      <c r="F87">
        <v>111651</v>
      </c>
      <c r="G87">
        <v>6841.855424</v>
      </c>
      <c r="H87">
        <v>4072.511666</v>
      </c>
      <c r="I87">
        <v>0.5952349784003141</v>
      </c>
      <c r="J87">
        <v>8</v>
      </c>
      <c r="K87">
        <v>4</v>
      </c>
      <c r="L87">
        <v>58.715978</v>
      </c>
      <c r="M87">
        <v>8.753887</v>
      </c>
      <c r="N87">
        <v>0.99989791</v>
      </c>
      <c r="O87" t="str">
        <v>full_year</v>
      </c>
      <c r="P87">
        <f>COUNTIFS('Reportes chatbot'!$D$5:$D$5004,$B87,'Reportes chatbot'!$N$5:$N$5004,"approved",'Reportes chatbot'!$O$5:$O$5004,"si",'Reportes chatbot'!$C$5:$C$5004,"&gt;="&amp;DATE($A87,1,1),'Reportes chatbot'!$C$5:$C$5004,"&lt;"&amp;DATE($A87+1,1,1))</f>
        <v>0</v>
      </c>
    </row>
    <row r="88">
      <c r="A88">
        <v>2022</v>
      </c>
      <c r="B88" t="str">
        <v>04</v>
      </c>
      <c r="C88" t="str">
        <v>San Cristóbal</v>
      </c>
      <c r="D88">
        <v>3671</v>
      </c>
      <c r="E88">
        <v>6218</v>
      </c>
      <c r="F88">
        <v>394613</v>
      </c>
      <c r="G88">
        <v>930.278526</v>
      </c>
      <c r="H88">
        <v>1575.721023</v>
      </c>
      <c r="I88">
        <v>1.6938163988014165</v>
      </c>
      <c r="J88">
        <v>15</v>
      </c>
      <c r="K88">
        <v>16</v>
      </c>
      <c r="L88">
        <v>11.07413</v>
      </c>
      <c r="M88">
        <v>-4.544059</v>
      </c>
      <c r="N88">
        <v>0.99989791</v>
      </c>
      <c r="O88" t="str">
        <v>full_year</v>
      </c>
      <c r="P88">
        <f>COUNTIFS('Reportes chatbot'!$D$5:$D$5004,$B88,'Reportes chatbot'!$N$5:$N$5004,"approved",'Reportes chatbot'!$O$5:$O$5004,"si",'Reportes chatbot'!$C$5:$C$5004,"&gt;="&amp;DATE($A88,1,1),'Reportes chatbot'!$C$5:$C$5004,"&lt;"&amp;DATE($A88+1,1,1))</f>
        <v>0</v>
      </c>
    </row>
    <row r="89">
      <c r="A89">
        <v>2022</v>
      </c>
      <c r="B89" t="str">
        <v>05</v>
      </c>
      <c r="C89" t="str">
        <v>Usme</v>
      </c>
      <c r="D89">
        <v>3027</v>
      </c>
      <c r="E89">
        <v>4325</v>
      </c>
      <c r="F89">
        <v>388197</v>
      </c>
      <c r="G89">
        <v>779.758731</v>
      </c>
      <c r="H89">
        <v>1114.125045</v>
      </c>
      <c r="I89">
        <v>1.428807400066072</v>
      </c>
      <c r="J89">
        <v>16</v>
      </c>
      <c r="K89">
        <v>19</v>
      </c>
      <c r="L89">
        <v>29.358974</v>
      </c>
      <c r="M89">
        <v>-8.174098</v>
      </c>
      <c r="N89">
        <v>0.99989791</v>
      </c>
      <c r="O89" t="str">
        <v>full_year</v>
      </c>
      <c r="P89">
        <f>COUNTIFS('Reportes chatbot'!$D$5:$D$5004,$B89,'Reportes chatbot'!$N$5:$N$5004,"approved",'Reportes chatbot'!$O$5:$O$5004,"si",'Reportes chatbot'!$C$5:$C$5004,"&gt;="&amp;DATE($A89,1,1),'Reportes chatbot'!$C$5:$C$5004,"&lt;"&amp;DATE($A89+1,1,1))</f>
        <v>0</v>
      </c>
    </row>
    <row r="90">
      <c r="A90">
        <v>2022</v>
      </c>
      <c r="B90" t="str">
        <v>06</v>
      </c>
      <c r="C90" t="str">
        <v>Tunjuelito</v>
      </c>
      <c r="D90">
        <v>2766</v>
      </c>
      <c r="E90">
        <v>2871</v>
      </c>
      <c r="F90">
        <v>176288</v>
      </c>
      <c r="G90">
        <v>1569.023416</v>
      </c>
      <c r="H90">
        <v>1628.585043</v>
      </c>
      <c r="I90">
        <v>1.0379609544468547</v>
      </c>
      <c r="J90">
        <v>17</v>
      </c>
      <c r="K90">
        <v>12</v>
      </c>
      <c r="L90">
        <v>14.014839</v>
      </c>
      <c r="M90">
        <v>-12.416107</v>
      </c>
      <c r="N90">
        <v>0.99989791</v>
      </c>
      <c r="O90" t="str">
        <v>full_year</v>
      </c>
      <c r="P90">
        <f>COUNTIFS('Reportes chatbot'!$D$5:$D$5004,$B90,'Reportes chatbot'!$N$5:$N$5004,"approved",'Reportes chatbot'!$O$5:$O$5004,"si",'Reportes chatbot'!$C$5:$C$5004,"&gt;="&amp;DATE($A90,1,1),'Reportes chatbot'!$C$5:$C$5004,"&lt;"&amp;DATE($A90+1,1,1))</f>
        <v>0</v>
      </c>
    </row>
    <row r="91">
      <c r="A91">
        <v>2022</v>
      </c>
      <c r="B91" t="str">
        <v>07</v>
      </c>
      <c r="C91" t="str">
        <v>Bosa</v>
      </c>
      <c r="D91">
        <v>6824</v>
      </c>
      <c r="E91">
        <v>9168</v>
      </c>
      <c r="F91">
        <v>743862</v>
      </c>
      <c r="G91">
        <v>917.374459</v>
      </c>
      <c r="H91">
        <v>1232.486671</v>
      </c>
      <c r="I91">
        <v>1.343493552168816</v>
      </c>
      <c r="J91">
        <v>9</v>
      </c>
      <c r="K91">
        <v>17</v>
      </c>
      <c r="L91">
        <v>9.975826</v>
      </c>
      <c r="M91">
        <v>-10.267202</v>
      </c>
      <c r="N91">
        <v>0.99989791</v>
      </c>
      <c r="O91" t="str">
        <v>full_year</v>
      </c>
      <c r="P91">
        <f>COUNTIFS('Reportes chatbot'!$D$5:$D$5004,$B91,'Reportes chatbot'!$N$5:$N$5004,"approved",'Reportes chatbot'!$O$5:$O$5004,"si",'Reportes chatbot'!$C$5:$C$5004,"&gt;="&amp;DATE($A91,1,1),'Reportes chatbot'!$C$5:$C$5004,"&lt;"&amp;DATE($A91+1,1,1))</f>
        <v>0</v>
      </c>
    </row>
    <row r="92">
      <c r="A92">
        <v>2022</v>
      </c>
      <c r="B92" t="str">
        <v>08</v>
      </c>
      <c r="C92" t="str">
        <v>Kennedy</v>
      </c>
      <c r="D92">
        <v>14539</v>
      </c>
      <c r="E92">
        <v>17121</v>
      </c>
      <c r="F92">
        <v>1087567</v>
      </c>
      <c r="G92">
        <v>1336.837179</v>
      </c>
      <c r="H92">
        <v>1574.247839</v>
      </c>
      <c r="I92">
        <v>1.1775913061421006</v>
      </c>
      <c r="J92">
        <v>2</v>
      </c>
      <c r="K92">
        <v>13</v>
      </c>
      <c r="L92">
        <v>21.350472</v>
      </c>
      <c r="M92">
        <v>-7.996131</v>
      </c>
      <c r="N92">
        <v>0.99989791</v>
      </c>
      <c r="O92" t="str">
        <v>full_year</v>
      </c>
      <c r="P92">
        <f>COUNTIFS('Reportes chatbot'!$D$5:$D$5004,$B92,'Reportes chatbot'!$N$5:$N$5004,"approved",'Reportes chatbot'!$O$5:$O$5004,"si",'Reportes chatbot'!$C$5:$C$5004,"&gt;="&amp;DATE($A92,1,1),'Reportes chatbot'!$C$5:$C$5004,"&lt;"&amp;DATE($A92+1,1,1))</f>
        <v>0</v>
      </c>
    </row>
    <row r="93">
      <c r="A93">
        <v>2022</v>
      </c>
      <c r="B93" t="str">
        <v>09</v>
      </c>
      <c r="C93" t="str">
        <v>Fontibón</v>
      </c>
      <c r="D93">
        <v>9190</v>
      </c>
      <c r="E93">
        <v>6798</v>
      </c>
      <c r="F93">
        <v>384590</v>
      </c>
      <c r="G93">
        <v>2389.557711</v>
      </c>
      <c r="H93">
        <v>1767.596661</v>
      </c>
      <c r="I93">
        <v>0.7397170837867247</v>
      </c>
      <c r="J93">
        <v>6</v>
      </c>
      <c r="K93">
        <v>9</v>
      </c>
      <c r="L93">
        <v>31.04235</v>
      </c>
      <c r="M93">
        <v>8.162291</v>
      </c>
      <c r="N93">
        <v>0.99989791</v>
      </c>
      <c r="O93" t="str">
        <v>full_year</v>
      </c>
      <c r="P93">
        <f>COUNTIFS('Reportes chatbot'!$D$5:$D$5004,$B93,'Reportes chatbot'!$N$5:$N$5004,"approved",'Reportes chatbot'!$O$5:$O$5004,"si",'Reportes chatbot'!$C$5:$C$5004,"&gt;="&amp;DATE($A93,1,1),'Reportes chatbot'!$C$5:$C$5004,"&lt;"&amp;DATE($A93+1,1,1))</f>
        <v>0</v>
      </c>
    </row>
    <row r="94">
      <c r="A94">
        <v>2022</v>
      </c>
      <c r="B94" t="str">
        <v>10</v>
      </c>
      <c r="C94" t="str">
        <v>Engativá</v>
      </c>
      <c r="D94">
        <v>13702</v>
      </c>
      <c r="E94">
        <v>15776</v>
      </c>
      <c r="F94">
        <v>829701</v>
      </c>
      <c r="G94">
        <v>1651.438289</v>
      </c>
      <c r="H94">
        <v>1901.407857</v>
      </c>
      <c r="I94">
        <v>1.15136476426799</v>
      </c>
      <c r="J94">
        <v>3</v>
      </c>
      <c r="K94">
        <v>10</v>
      </c>
      <c r="L94">
        <v>16.771774</v>
      </c>
      <c r="M94">
        <v>-5.101059</v>
      </c>
      <c r="N94">
        <v>0.99989791</v>
      </c>
      <c r="O94" t="str">
        <v>full_year</v>
      </c>
      <c r="P94">
        <f>COUNTIFS('Reportes chatbot'!$D$5:$D$5004,$B94,'Reportes chatbot'!$N$5:$N$5004,"approved",'Reportes chatbot'!$O$5:$O$5004,"si",'Reportes chatbot'!$C$5:$C$5004,"&gt;="&amp;DATE($A94,1,1),'Reportes chatbot'!$C$5:$C$5004,"&lt;"&amp;DATE($A94+1,1,1))</f>
        <v>0</v>
      </c>
    </row>
    <row r="95">
      <c r="A95">
        <v>2022</v>
      </c>
      <c r="B95" t="str">
        <v>11</v>
      </c>
      <c r="C95" t="str">
        <v>Suba</v>
      </c>
      <c r="D95">
        <v>14544</v>
      </c>
      <c r="E95">
        <v>16631</v>
      </c>
      <c r="F95">
        <v>1234678</v>
      </c>
      <c r="G95">
        <v>1177.95895</v>
      </c>
      <c r="H95">
        <v>1346.990875</v>
      </c>
      <c r="I95">
        <v>1.143495599559956</v>
      </c>
      <c r="J95">
        <v>1</v>
      </c>
      <c r="K95">
        <v>15</v>
      </c>
      <c r="L95">
        <v>33.467927</v>
      </c>
      <c r="M95">
        <v>2.319429</v>
      </c>
      <c r="N95">
        <v>0.99989791</v>
      </c>
      <c r="O95" t="str">
        <v>full_year</v>
      </c>
      <c r="P95">
        <f>COUNTIFS('Reportes chatbot'!$D$5:$D$5004,$B95,'Reportes chatbot'!$N$5:$N$5004,"approved",'Reportes chatbot'!$O$5:$O$5004,"si",'Reportes chatbot'!$C$5:$C$5004,"&gt;="&amp;DATE($A95,1,1),'Reportes chatbot'!$C$5:$C$5004,"&lt;"&amp;DATE($A95+1,1,1))</f>
        <v>0</v>
      </c>
    </row>
    <row r="96">
      <c r="A96">
        <v>2022</v>
      </c>
      <c r="B96" t="str">
        <v>12</v>
      </c>
      <c r="C96" t="str">
        <v>Barrios Unidos</v>
      </c>
      <c r="D96">
        <v>5402</v>
      </c>
      <c r="E96">
        <v>4848</v>
      </c>
      <c r="F96">
        <v>136347</v>
      </c>
      <c r="G96">
        <v>3961.950025</v>
      </c>
      <c r="H96">
        <v>3555.633787</v>
      </c>
      <c r="I96">
        <v>0.8974453905960755</v>
      </c>
      <c r="J96">
        <v>13</v>
      </c>
      <c r="K96">
        <v>6</v>
      </c>
      <c r="L96">
        <v>26.688555</v>
      </c>
      <c r="M96">
        <v>-3.407053</v>
      </c>
      <c r="N96">
        <v>0.99989791</v>
      </c>
      <c r="O96" t="str">
        <v>full_year</v>
      </c>
      <c r="P96">
        <f>COUNTIFS('Reportes chatbot'!$D$5:$D$5004,$B96,'Reportes chatbot'!$N$5:$N$5004,"approved",'Reportes chatbot'!$O$5:$O$5004,"si",'Reportes chatbot'!$C$5:$C$5004,"&gt;="&amp;DATE($A96,1,1),'Reportes chatbot'!$C$5:$C$5004,"&lt;"&amp;DATE($A96+1,1,1))</f>
        <v>0</v>
      </c>
    </row>
    <row r="97">
      <c r="A97">
        <v>2022</v>
      </c>
      <c r="B97" t="str">
        <v>13</v>
      </c>
      <c r="C97" t="str">
        <v>Teusaquillo</v>
      </c>
      <c r="D97">
        <v>7959</v>
      </c>
      <c r="E97">
        <v>5658</v>
      </c>
      <c r="F97">
        <v>153970</v>
      </c>
      <c r="G97">
        <v>5169.188803</v>
      </c>
      <c r="H97">
        <v>3674.741833</v>
      </c>
      <c r="I97">
        <v>0.7108933283075763</v>
      </c>
      <c r="J97">
        <v>7</v>
      </c>
      <c r="K97">
        <v>5</v>
      </c>
      <c r="L97">
        <v>50.283233</v>
      </c>
      <c r="M97">
        <v>10.035006</v>
      </c>
      <c r="N97">
        <v>0.99989791</v>
      </c>
      <c r="O97" t="str">
        <v>full_year</v>
      </c>
      <c r="P97">
        <f>COUNTIFS('Reportes chatbot'!$D$5:$D$5004,$B97,'Reportes chatbot'!$N$5:$N$5004,"approved",'Reportes chatbot'!$O$5:$O$5004,"si",'Reportes chatbot'!$C$5:$C$5004,"&gt;="&amp;DATE($A97,1,1),'Reportes chatbot'!$C$5:$C$5004,"&lt;"&amp;DATE($A97+1,1,1))</f>
        <v>0</v>
      </c>
    </row>
    <row r="98">
      <c r="A98">
        <v>2022</v>
      </c>
      <c r="B98" t="str">
        <v>14</v>
      </c>
      <c r="C98" t="str">
        <v>Los Mártires</v>
      </c>
      <c r="D98">
        <v>5721</v>
      </c>
      <c r="E98">
        <v>4569</v>
      </c>
      <c r="F98">
        <v>75198</v>
      </c>
      <c r="G98">
        <v>7607.915104</v>
      </c>
      <c r="H98">
        <v>6075.959467</v>
      </c>
      <c r="I98">
        <v>0.7986366019926586</v>
      </c>
      <c r="J98">
        <v>11</v>
      </c>
      <c r="K98">
        <v>2</v>
      </c>
      <c r="L98">
        <v>31.095325</v>
      </c>
      <c r="M98">
        <v>-1.847476</v>
      </c>
      <c r="N98">
        <v>0.99989791</v>
      </c>
      <c r="O98" t="str">
        <v>full_year</v>
      </c>
      <c r="P98">
        <f>COUNTIFS('Reportes chatbot'!$D$5:$D$5004,$B98,'Reportes chatbot'!$N$5:$N$5004,"approved",'Reportes chatbot'!$O$5:$O$5004,"si",'Reportes chatbot'!$C$5:$C$5004,"&gt;="&amp;DATE($A98,1,1),'Reportes chatbot'!$C$5:$C$5004,"&lt;"&amp;DATE($A98+1,1,1))</f>
        <v>0</v>
      </c>
    </row>
    <row r="99">
      <c r="A99">
        <v>2022</v>
      </c>
      <c r="B99" t="str">
        <v>15</v>
      </c>
      <c r="C99" t="str">
        <v>Antonio Nariño</v>
      </c>
      <c r="D99">
        <v>2744</v>
      </c>
      <c r="E99">
        <v>3248</v>
      </c>
      <c r="F99">
        <v>79160</v>
      </c>
      <c r="G99">
        <v>3466.39717</v>
      </c>
      <c r="H99">
        <v>4103.082365</v>
      </c>
      <c r="I99">
        <v>1.183673469387755</v>
      </c>
      <c r="J99">
        <v>18</v>
      </c>
      <c r="K99">
        <v>7</v>
      </c>
      <c r="L99">
        <v>10.556003</v>
      </c>
      <c r="M99">
        <v>1.468291</v>
      </c>
      <c r="N99">
        <v>0.99989791</v>
      </c>
      <c r="O99" t="str">
        <v>full_year</v>
      </c>
      <c r="P99">
        <f>COUNTIFS('Reportes chatbot'!$D$5:$D$5004,$B99,'Reportes chatbot'!$N$5:$N$5004,"approved",'Reportes chatbot'!$O$5:$O$5004,"si",'Reportes chatbot'!$C$5:$C$5004,"&gt;="&amp;DATE($A99,1,1),'Reportes chatbot'!$C$5:$C$5004,"&lt;"&amp;DATE($A99+1,1,1))</f>
        <v>0</v>
      </c>
    </row>
    <row r="100">
      <c r="A100">
        <v>2022</v>
      </c>
      <c r="B100" t="str">
        <v>16</v>
      </c>
      <c r="C100" t="str">
        <v>Puente Aranda</v>
      </c>
      <c r="D100">
        <v>6691</v>
      </c>
      <c r="E100">
        <v>6689</v>
      </c>
      <c r="F100">
        <v>249893</v>
      </c>
      <c r="G100">
        <v>2677.54599</v>
      </c>
      <c r="H100">
        <v>2676.745647</v>
      </c>
      <c r="I100">
        <v>0.999701091017785</v>
      </c>
      <c r="J100">
        <v>10</v>
      </c>
      <c r="K100">
        <v>8</v>
      </c>
      <c r="L100">
        <v>22.366496</v>
      </c>
      <c r="M100">
        <v>-1.920821</v>
      </c>
      <c r="N100">
        <v>0.99989791</v>
      </c>
      <c r="O100" t="str">
        <v>full_year</v>
      </c>
      <c r="P100">
        <f>COUNTIFS('Reportes chatbot'!$D$5:$D$5004,$B100,'Reportes chatbot'!$N$5:$N$5004,"approved",'Reportes chatbot'!$O$5:$O$5004,"si",'Reportes chatbot'!$C$5:$C$5004,"&gt;="&amp;DATE($A100,1,1),'Reportes chatbot'!$C$5:$C$5004,"&lt;"&amp;DATE($A100+1,1,1))</f>
        <v>0</v>
      </c>
    </row>
    <row r="101">
      <c r="A101">
        <v>2022</v>
      </c>
      <c r="B101" t="str">
        <v>17</v>
      </c>
      <c r="C101" t="str">
        <v>La Candelaria</v>
      </c>
      <c r="D101">
        <v>1327</v>
      </c>
      <c r="E101">
        <v>706</v>
      </c>
      <c r="F101">
        <v>16916</v>
      </c>
      <c r="G101">
        <v>7844.644124</v>
      </c>
      <c r="H101">
        <v>4173.56349</v>
      </c>
      <c r="I101">
        <v>0.5320271288620949</v>
      </c>
      <c r="J101">
        <v>19</v>
      </c>
      <c r="K101">
        <v>1</v>
      </c>
      <c r="L101">
        <v>36.382323</v>
      </c>
      <c r="M101">
        <v>40.63745</v>
      </c>
      <c r="N101">
        <v>0.99989791</v>
      </c>
      <c r="O101" t="str">
        <v>full_year</v>
      </c>
      <c r="P101">
        <f>COUNTIFS('Reportes chatbot'!$D$5:$D$5004,$B101,'Reportes chatbot'!$N$5:$N$5004,"approved",'Reportes chatbot'!$O$5:$O$5004,"si",'Reportes chatbot'!$C$5:$C$5004,"&gt;="&amp;DATE($A101,1,1),'Reportes chatbot'!$C$5:$C$5004,"&lt;"&amp;DATE($A101+1,1,1))</f>
        <v>0</v>
      </c>
    </row>
    <row r="102">
      <c r="A102">
        <v>2022</v>
      </c>
      <c r="B102" t="str">
        <v>18</v>
      </c>
      <c r="C102" t="str">
        <v>Rafael Uribe Uribe</v>
      </c>
      <c r="D102">
        <v>4488</v>
      </c>
      <c r="E102">
        <v>5842</v>
      </c>
      <c r="F102">
        <v>376138</v>
      </c>
      <c r="G102">
        <v>1193.179099</v>
      </c>
      <c r="H102">
        <v>1553.153364</v>
      </c>
      <c r="I102">
        <v>1.3016934046345812</v>
      </c>
      <c r="J102">
        <v>14</v>
      </c>
      <c r="K102">
        <v>14</v>
      </c>
      <c r="L102">
        <v>11.641791</v>
      </c>
      <c r="M102">
        <v>-13.439028</v>
      </c>
      <c r="N102">
        <v>0.99989791</v>
      </c>
      <c r="O102" t="str">
        <v>full_year</v>
      </c>
      <c r="P102">
        <f>COUNTIFS('Reportes chatbot'!$D$5:$D$5004,$B102,'Reportes chatbot'!$N$5:$N$5004,"approved",'Reportes chatbot'!$O$5:$O$5004,"si",'Reportes chatbot'!$C$5:$C$5004,"&gt;="&amp;DATE($A102,1,1),'Reportes chatbot'!$C$5:$C$5004,"&lt;"&amp;DATE($A102+1,1,1))</f>
        <v>0</v>
      </c>
    </row>
    <row r="103">
      <c r="A103">
        <v>2022</v>
      </c>
      <c r="B103" t="str">
        <v>19</v>
      </c>
      <c r="C103" t="str">
        <v>Ciudad Bolívar</v>
      </c>
      <c r="D103">
        <v>5576</v>
      </c>
      <c r="E103">
        <v>8768</v>
      </c>
      <c r="F103">
        <v>661661</v>
      </c>
      <c r="G103">
        <v>842.72762</v>
      </c>
      <c r="H103">
        <v>1325.149888</v>
      </c>
      <c r="I103">
        <v>1.5724533715925395</v>
      </c>
      <c r="J103">
        <v>12</v>
      </c>
      <c r="K103">
        <v>18</v>
      </c>
      <c r="L103">
        <v>11.52</v>
      </c>
      <c r="M103">
        <v>-7.373759</v>
      </c>
      <c r="N103">
        <v>0.99989791</v>
      </c>
      <c r="O103" t="str">
        <v>full_year</v>
      </c>
      <c r="P103">
        <f>COUNTIFS('Reportes chatbot'!$D$5:$D$5004,$B103,'Reportes chatbot'!$N$5:$N$5004,"approved",'Reportes chatbot'!$O$5:$O$5004,"si",'Reportes chatbot'!$C$5:$C$5004,"&gt;="&amp;DATE($A103,1,1),'Reportes chatbot'!$C$5:$C$5004,"&lt;"&amp;DATE($A103+1,1,1))</f>
        <v>0</v>
      </c>
    </row>
    <row r="104">
      <c r="A104">
        <v>2022</v>
      </c>
      <c r="B104" t="str">
        <v>20</v>
      </c>
      <c r="C104" t="str">
        <v>Sumapaz</v>
      </c>
      <c r="D104">
        <v>0</v>
      </c>
      <c r="E104">
        <v>8</v>
      </c>
      <c r="F104">
        <v>3262</v>
      </c>
      <c r="G104">
        <v>0</v>
      </c>
      <c r="H104">
        <v>245.248314</v>
      </c>
      <c r="J104">
        <v>20</v>
      </c>
      <c r="K104">
        <v>20</v>
      </c>
      <c r="L104">
        <v>-100</v>
      </c>
      <c r="M104">
        <v>-11.111111</v>
      </c>
      <c r="N104">
        <v>0.99989791</v>
      </c>
      <c r="O104" t="str">
        <v>full_year</v>
      </c>
      <c r="P104">
        <f>COUNTIFS('Reportes chatbot'!$D$5:$D$5004,$B104,'Reportes chatbot'!$N$5:$N$5004,"approved",'Reportes chatbot'!$O$5:$O$5004,"si",'Reportes chatbot'!$C$5:$C$5004,"&gt;="&amp;DATE($A104,1,1),'Reportes chatbot'!$C$5:$C$5004,"&lt;"&amp;DATE($A104+1,1,1))</f>
        <v>0</v>
      </c>
    </row>
    <row r="105">
      <c r="A105">
        <v>2023</v>
      </c>
      <c r="B105" t="str">
        <v>01</v>
      </c>
      <c r="C105" t="str">
        <v>Usaquén</v>
      </c>
      <c r="D105">
        <v>8643</v>
      </c>
      <c r="E105">
        <v>9015</v>
      </c>
      <c r="F105">
        <v>585076</v>
      </c>
      <c r="G105">
        <v>1477.243982</v>
      </c>
      <c r="H105">
        <v>1540.825465</v>
      </c>
      <c r="I105">
        <v>1.0430406108989934</v>
      </c>
      <c r="J105">
        <v>9</v>
      </c>
      <c r="K105">
        <v>12</v>
      </c>
      <c r="L105">
        <v>-7.204209</v>
      </c>
      <c r="M105">
        <v>4.497508</v>
      </c>
      <c r="N105">
        <v>0.99279986</v>
      </c>
      <c r="O105" t="str">
        <v>full_year</v>
      </c>
      <c r="P105">
        <f>COUNTIFS('Reportes chatbot'!$D$5:$D$5004,$B105,'Reportes chatbot'!$N$5:$N$5004,"approved",'Reportes chatbot'!$O$5:$O$5004,"si",'Reportes chatbot'!$C$5:$C$5004,"&gt;="&amp;DATE($A105,1,1),'Reportes chatbot'!$C$5:$C$5004,"&lt;"&amp;DATE($A105+1,1,1))</f>
        <v>0</v>
      </c>
    </row>
    <row r="106">
      <c r="A106">
        <v>2023</v>
      </c>
      <c r="B106" t="str">
        <v>02</v>
      </c>
      <c r="C106" t="str">
        <v>Chapinero</v>
      </c>
      <c r="D106">
        <v>14976</v>
      </c>
      <c r="E106">
        <v>6096</v>
      </c>
      <c r="F106">
        <v>162013</v>
      </c>
      <c r="G106">
        <v>9243.702666</v>
      </c>
      <c r="H106">
        <v>3762.661021</v>
      </c>
      <c r="I106">
        <v>0.40705128205128205</v>
      </c>
      <c r="J106">
        <v>4</v>
      </c>
      <c r="K106">
        <v>2</v>
      </c>
      <c r="L106">
        <v>24.862431</v>
      </c>
      <c r="M106">
        <v>2.110553</v>
      </c>
      <c r="N106">
        <v>0.99279986</v>
      </c>
      <c r="O106" t="str">
        <v>full_year</v>
      </c>
      <c r="P106">
        <f>COUNTIFS('Reportes chatbot'!$D$5:$D$5004,$B106,'Reportes chatbot'!$N$5:$N$5004,"approved",'Reportes chatbot'!$O$5:$O$5004,"si",'Reportes chatbot'!$C$5:$C$5004,"&gt;="&amp;DATE($A106,1,1),'Reportes chatbot'!$C$5:$C$5004,"&lt;"&amp;DATE($A106+1,1,1))</f>
        <v>0</v>
      </c>
    </row>
    <row r="107">
      <c r="A107">
        <v>2023</v>
      </c>
      <c r="B107" t="str">
        <v>03</v>
      </c>
      <c r="C107" t="str">
        <v>Santa Fe</v>
      </c>
      <c r="D107">
        <v>8792</v>
      </c>
      <c r="E107">
        <v>4596</v>
      </c>
      <c r="F107">
        <v>112336</v>
      </c>
      <c r="G107">
        <v>7826.520439</v>
      </c>
      <c r="H107">
        <v>4091.297536</v>
      </c>
      <c r="I107">
        <v>0.5227479526842584</v>
      </c>
      <c r="J107">
        <v>8</v>
      </c>
      <c r="K107">
        <v>3</v>
      </c>
      <c r="L107">
        <v>15.093599</v>
      </c>
      <c r="M107">
        <v>1.077634</v>
      </c>
      <c r="N107">
        <v>0.99279986</v>
      </c>
      <c r="O107" t="str">
        <v>full_year</v>
      </c>
      <c r="P107">
        <f>COUNTIFS('Reportes chatbot'!$D$5:$D$5004,$B107,'Reportes chatbot'!$N$5:$N$5004,"approved",'Reportes chatbot'!$O$5:$O$5004,"si",'Reportes chatbot'!$C$5:$C$5004,"&gt;="&amp;DATE($A107,1,1),'Reportes chatbot'!$C$5:$C$5004,"&lt;"&amp;DATE($A107+1,1,1))</f>
        <v>0</v>
      </c>
    </row>
    <row r="108">
      <c r="A108">
        <v>2023</v>
      </c>
      <c r="B108" t="str">
        <v>04</v>
      </c>
      <c r="C108" t="str">
        <v>San Cristóbal</v>
      </c>
      <c r="D108">
        <v>3917</v>
      </c>
      <c r="E108">
        <v>7040</v>
      </c>
      <c r="F108">
        <v>394434</v>
      </c>
      <c r="G108">
        <v>993.068549</v>
      </c>
      <c r="H108">
        <v>1784.835993</v>
      </c>
      <c r="I108">
        <v>1.797293847332142</v>
      </c>
      <c r="J108">
        <v>15</v>
      </c>
      <c r="K108">
        <v>16</v>
      </c>
      <c r="L108">
        <v>6.701171</v>
      </c>
      <c r="M108">
        <v>13.219685</v>
      </c>
      <c r="N108">
        <v>0.99279986</v>
      </c>
      <c r="O108" t="str">
        <v>full_year</v>
      </c>
      <c r="P108">
        <f>COUNTIFS('Reportes chatbot'!$D$5:$D$5004,$B108,'Reportes chatbot'!$N$5:$N$5004,"approved",'Reportes chatbot'!$O$5:$O$5004,"si",'Reportes chatbot'!$C$5:$C$5004,"&gt;="&amp;DATE($A108,1,1),'Reportes chatbot'!$C$5:$C$5004,"&lt;"&amp;DATE($A108+1,1,1))</f>
        <v>0</v>
      </c>
    </row>
    <row r="109">
      <c r="A109">
        <v>2023</v>
      </c>
      <c r="B109" t="str">
        <v>05</v>
      </c>
      <c r="C109" t="str">
        <v>Usme</v>
      </c>
      <c r="D109">
        <v>3187</v>
      </c>
      <c r="E109">
        <v>4578</v>
      </c>
      <c r="F109">
        <v>391852</v>
      </c>
      <c r="G109">
        <v>813.317273</v>
      </c>
      <c r="H109">
        <v>1168.298235</v>
      </c>
      <c r="I109">
        <v>1.4364606212739253</v>
      </c>
      <c r="J109">
        <v>17</v>
      </c>
      <c r="K109">
        <v>19</v>
      </c>
      <c r="L109">
        <v>5.285761</v>
      </c>
      <c r="M109">
        <v>5.849711</v>
      </c>
      <c r="N109">
        <v>0.99279986</v>
      </c>
      <c r="O109" t="str">
        <v>full_year</v>
      </c>
      <c r="P109">
        <f>COUNTIFS('Reportes chatbot'!$D$5:$D$5004,$B109,'Reportes chatbot'!$N$5:$N$5004,"approved",'Reportes chatbot'!$O$5:$O$5004,"si",'Reportes chatbot'!$C$5:$C$5004,"&gt;="&amp;DATE($A109,1,1),'Reportes chatbot'!$C$5:$C$5004,"&lt;"&amp;DATE($A109+1,1,1))</f>
        <v>0</v>
      </c>
    </row>
    <row r="110">
      <c r="A110">
        <v>2023</v>
      </c>
      <c r="B110" t="str">
        <v>06</v>
      </c>
      <c r="C110" t="str">
        <v>Tunjuelito</v>
      </c>
      <c r="D110">
        <v>2787</v>
      </c>
      <c r="E110">
        <v>3136</v>
      </c>
      <c r="F110">
        <v>175922</v>
      </c>
      <c r="G110">
        <v>1584.224827</v>
      </c>
      <c r="H110">
        <v>1782.608201</v>
      </c>
      <c r="I110">
        <v>1.1252242554718335</v>
      </c>
      <c r="J110">
        <v>18</v>
      </c>
      <c r="K110">
        <v>11</v>
      </c>
      <c r="L110">
        <v>0.759219</v>
      </c>
      <c r="M110">
        <v>9.230233</v>
      </c>
      <c r="N110">
        <v>0.99279986</v>
      </c>
      <c r="O110" t="str">
        <v>full_year</v>
      </c>
      <c r="P110">
        <f>COUNTIFS('Reportes chatbot'!$D$5:$D$5004,$B110,'Reportes chatbot'!$N$5:$N$5004,"approved",'Reportes chatbot'!$O$5:$O$5004,"si",'Reportes chatbot'!$C$5:$C$5004,"&gt;="&amp;DATE($A110,1,1),'Reportes chatbot'!$C$5:$C$5004,"&lt;"&amp;DATE($A110+1,1,1))</f>
        <v>0</v>
      </c>
    </row>
    <row r="111">
      <c r="A111">
        <v>2023</v>
      </c>
      <c r="B111" t="str">
        <v>07</v>
      </c>
      <c r="C111" t="str">
        <v>Bosa</v>
      </c>
      <c r="D111">
        <v>7284</v>
      </c>
      <c r="E111">
        <v>9246</v>
      </c>
      <c r="F111">
        <v>752229</v>
      </c>
      <c r="G111">
        <v>968.322147</v>
      </c>
      <c r="H111">
        <v>1229.146975</v>
      </c>
      <c r="I111">
        <v>1.2693574958813838</v>
      </c>
      <c r="J111">
        <v>10</v>
      </c>
      <c r="K111">
        <v>18</v>
      </c>
      <c r="L111">
        <v>6.740914</v>
      </c>
      <c r="M111">
        <v>0.850785</v>
      </c>
      <c r="N111">
        <v>0.99279986</v>
      </c>
      <c r="O111" t="str">
        <v>full_year</v>
      </c>
      <c r="P111">
        <f>COUNTIFS('Reportes chatbot'!$D$5:$D$5004,$B111,'Reportes chatbot'!$N$5:$N$5004,"approved",'Reportes chatbot'!$O$5:$O$5004,"si",'Reportes chatbot'!$C$5:$C$5004,"&gt;="&amp;DATE($A111,1,1),'Reportes chatbot'!$C$5:$C$5004,"&lt;"&amp;DATE($A111+1,1,1))</f>
        <v>0</v>
      </c>
    </row>
    <row r="112">
      <c r="A112">
        <v>2023</v>
      </c>
      <c r="B112" t="str">
        <v>08</v>
      </c>
      <c r="C112" t="str">
        <v>Kennedy</v>
      </c>
      <c r="D112">
        <v>16152</v>
      </c>
      <c r="E112">
        <v>17537</v>
      </c>
      <c r="F112">
        <v>1093721</v>
      </c>
      <c r="G112">
        <v>1476.793442</v>
      </c>
      <c r="H112">
        <v>1603.425371</v>
      </c>
      <c r="I112">
        <v>1.0857478949975234</v>
      </c>
      <c r="J112">
        <v>2</v>
      </c>
      <c r="K112">
        <v>13</v>
      </c>
      <c r="L112">
        <v>11.094298</v>
      </c>
      <c r="M112">
        <v>2.429765</v>
      </c>
      <c r="N112">
        <v>0.99279986</v>
      </c>
      <c r="O112" t="str">
        <v>full_year</v>
      </c>
      <c r="P112">
        <f>COUNTIFS('Reportes chatbot'!$D$5:$D$5004,$B112,'Reportes chatbot'!$N$5:$N$5004,"approved",'Reportes chatbot'!$O$5:$O$5004,"si",'Reportes chatbot'!$C$5:$C$5004,"&gt;="&amp;DATE($A112,1,1),'Reportes chatbot'!$C$5:$C$5004,"&lt;"&amp;DATE($A112+1,1,1))</f>
        <v>0</v>
      </c>
    </row>
    <row r="113">
      <c r="A113">
        <v>2023</v>
      </c>
      <c r="B113" t="str">
        <v>09</v>
      </c>
      <c r="C113" t="str">
        <v>Fontibón</v>
      </c>
      <c r="D113">
        <v>8938</v>
      </c>
      <c r="E113">
        <v>7647</v>
      </c>
      <c r="F113">
        <v>385154</v>
      </c>
      <c r="G113">
        <v>2320.630189</v>
      </c>
      <c r="H113">
        <v>1985.43959</v>
      </c>
      <c r="I113">
        <v>0.8555605280823451</v>
      </c>
      <c r="J113">
        <v>7</v>
      </c>
      <c r="K113">
        <v>9</v>
      </c>
      <c r="L113">
        <v>-2.742111</v>
      </c>
      <c r="M113">
        <v>12.488967</v>
      </c>
      <c r="N113">
        <v>0.99279986</v>
      </c>
      <c r="O113" t="str">
        <v>full_year</v>
      </c>
      <c r="P113">
        <f>COUNTIFS('Reportes chatbot'!$D$5:$D$5004,$B113,'Reportes chatbot'!$N$5:$N$5004,"approved",'Reportes chatbot'!$O$5:$O$5004,"si",'Reportes chatbot'!$C$5:$C$5004,"&gt;="&amp;DATE($A113,1,1),'Reportes chatbot'!$C$5:$C$5004,"&lt;"&amp;DATE($A113+1,1,1))</f>
        <v>0</v>
      </c>
    </row>
    <row r="114">
      <c r="A114">
        <v>2023</v>
      </c>
      <c r="B114" t="str">
        <v>10</v>
      </c>
      <c r="C114" t="str">
        <v>Engativá</v>
      </c>
      <c r="D114">
        <v>15458</v>
      </c>
      <c r="E114">
        <v>16797</v>
      </c>
      <c r="F114">
        <v>830505</v>
      </c>
      <c r="G114">
        <v>1861.277175</v>
      </c>
      <c r="H114">
        <v>2022.50438</v>
      </c>
      <c r="I114">
        <v>1.0866218139474706</v>
      </c>
      <c r="J114">
        <v>3</v>
      </c>
      <c r="K114">
        <v>10</v>
      </c>
      <c r="L114">
        <v>12.815647</v>
      </c>
      <c r="M114">
        <v>6.471856</v>
      </c>
      <c r="N114">
        <v>0.99279986</v>
      </c>
      <c r="O114" t="str">
        <v>full_year</v>
      </c>
      <c r="P114">
        <f>COUNTIFS('Reportes chatbot'!$D$5:$D$5004,$B114,'Reportes chatbot'!$N$5:$N$5004,"approved",'Reportes chatbot'!$O$5:$O$5004,"si",'Reportes chatbot'!$C$5:$C$5004,"&gt;="&amp;DATE($A114,1,1),'Reportes chatbot'!$C$5:$C$5004,"&lt;"&amp;DATE($A114+1,1,1))</f>
        <v>0</v>
      </c>
    </row>
    <row r="115">
      <c r="A115">
        <v>2023</v>
      </c>
      <c r="B115" t="str">
        <v>11</v>
      </c>
      <c r="C115" t="str">
        <v>Suba</v>
      </c>
      <c r="D115">
        <v>17656</v>
      </c>
      <c r="E115">
        <v>16718</v>
      </c>
      <c r="F115">
        <v>1241362</v>
      </c>
      <c r="G115">
        <v>1422.308722</v>
      </c>
      <c r="H115">
        <v>1346.746557</v>
      </c>
      <c r="I115">
        <v>0.9468735840507476</v>
      </c>
      <c r="J115">
        <v>1</v>
      </c>
      <c r="K115">
        <v>15</v>
      </c>
      <c r="L115">
        <v>21.39714</v>
      </c>
      <c r="M115">
        <v>0.523119</v>
      </c>
      <c r="N115">
        <v>0.99279986</v>
      </c>
      <c r="O115" t="str">
        <v>full_year</v>
      </c>
      <c r="P115">
        <f>COUNTIFS('Reportes chatbot'!$D$5:$D$5004,$B115,'Reportes chatbot'!$N$5:$N$5004,"approved",'Reportes chatbot'!$O$5:$O$5004,"si",'Reportes chatbot'!$C$5:$C$5004,"&gt;="&amp;DATE($A115,1,1),'Reportes chatbot'!$C$5:$C$5004,"&lt;"&amp;DATE($A115+1,1,1))</f>
        <v>0</v>
      </c>
    </row>
    <row r="116">
      <c r="A116">
        <v>2023</v>
      </c>
      <c r="B116" t="str">
        <v>12</v>
      </c>
      <c r="C116" t="str">
        <v>Barrios Unidos</v>
      </c>
      <c r="D116">
        <v>6931</v>
      </c>
      <c r="E116">
        <v>5624</v>
      </c>
      <c r="F116">
        <v>136020</v>
      </c>
      <c r="G116">
        <v>5095.57418</v>
      </c>
      <c r="H116">
        <v>4134.686076</v>
      </c>
      <c r="I116">
        <v>0.8114269225220025</v>
      </c>
      <c r="J116">
        <v>12</v>
      </c>
      <c r="K116">
        <v>6</v>
      </c>
      <c r="L116">
        <v>28.304332</v>
      </c>
      <c r="M116">
        <v>16.006601</v>
      </c>
      <c r="N116">
        <v>0.99279986</v>
      </c>
      <c r="O116" t="str">
        <v>full_year</v>
      </c>
      <c r="P116">
        <f>COUNTIFS('Reportes chatbot'!$D$5:$D$5004,$B116,'Reportes chatbot'!$N$5:$N$5004,"approved",'Reportes chatbot'!$O$5:$O$5004,"si",'Reportes chatbot'!$C$5:$C$5004,"&gt;="&amp;DATE($A116,1,1),'Reportes chatbot'!$C$5:$C$5004,"&lt;"&amp;DATE($A116+1,1,1))</f>
        <v>0</v>
      </c>
    </row>
    <row r="117">
      <c r="A117">
        <v>2023</v>
      </c>
      <c r="B117" t="str">
        <v>13</v>
      </c>
      <c r="C117" t="str">
        <v>Teusaquillo</v>
      </c>
      <c r="D117">
        <v>10228</v>
      </c>
      <c r="E117">
        <v>6257</v>
      </c>
      <c r="F117">
        <v>154555</v>
      </c>
      <c r="G117">
        <v>6617.708906</v>
      </c>
      <c r="H117">
        <v>4048.397011</v>
      </c>
      <c r="I117">
        <v>0.611752053187329</v>
      </c>
      <c r="J117">
        <v>5</v>
      </c>
      <c r="K117">
        <v>5</v>
      </c>
      <c r="L117">
        <v>28.508607</v>
      </c>
      <c r="M117">
        <v>10.58678</v>
      </c>
      <c r="N117">
        <v>0.99279986</v>
      </c>
      <c r="O117" t="str">
        <v>full_year</v>
      </c>
      <c r="P117">
        <f>COUNTIFS('Reportes chatbot'!$D$5:$D$5004,$B117,'Reportes chatbot'!$N$5:$N$5004,"approved",'Reportes chatbot'!$O$5:$O$5004,"si",'Reportes chatbot'!$C$5:$C$5004,"&gt;="&amp;DATE($A117,1,1),'Reportes chatbot'!$C$5:$C$5004,"&lt;"&amp;DATE($A117+1,1,1))</f>
        <v>0</v>
      </c>
    </row>
    <row r="118">
      <c r="A118">
        <v>2023</v>
      </c>
      <c r="B118" t="str">
        <v>14</v>
      </c>
      <c r="C118" t="str">
        <v>Los Mártires</v>
      </c>
      <c r="D118">
        <v>9097</v>
      </c>
      <c r="E118">
        <v>4809</v>
      </c>
      <c r="F118">
        <v>75278</v>
      </c>
      <c r="G118">
        <v>12084.539972</v>
      </c>
      <c r="H118">
        <v>6388.320625</v>
      </c>
      <c r="I118">
        <v>0.5286358140046169</v>
      </c>
      <c r="J118">
        <v>6</v>
      </c>
      <c r="K118">
        <v>1</v>
      </c>
      <c r="L118">
        <v>59.010662</v>
      </c>
      <c r="M118">
        <v>5.252791</v>
      </c>
      <c r="N118">
        <v>0.99279986</v>
      </c>
      <c r="O118" t="str">
        <v>full_year</v>
      </c>
      <c r="P118">
        <f>COUNTIFS('Reportes chatbot'!$D$5:$D$5004,$B118,'Reportes chatbot'!$N$5:$N$5004,"approved",'Reportes chatbot'!$O$5:$O$5004,"si",'Reportes chatbot'!$C$5:$C$5004,"&gt;="&amp;DATE($A118,1,1),'Reportes chatbot'!$C$5:$C$5004,"&lt;"&amp;DATE($A118+1,1,1))</f>
        <v>0</v>
      </c>
    </row>
    <row r="119">
      <c r="A119">
        <v>2023</v>
      </c>
      <c r="B119" t="str">
        <v>15</v>
      </c>
      <c r="C119" t="str">
        <v>Antonio Nariño</v>
      </c>
      <c r="D119">
        <v>3228</v>
      </c>
      <c r="E119">
        <v>3394</v>
      </c>
      <c r="F119">
        <v>78536</v>
      </c>
      <c r="G119">
        <v>4110.216971</v>
      </c>
      <c r="H119">
        <v>4321.585006</v>
      </c>
      <c r="I119">
        <v>1.0514250309789344</v>
      </c>
      <c r="J119">
        <v>16</v>
      </c>
      <c r="K119">
        <v>7</v>
      </c>
      <c r="L119">
        <v>17.638484</v>
      </c>
      <c r="M119">
        <v>4.495074</v>
      </c>
      <c r="N119">
        <v>0.99279986</v>
      </c>
      <c r="O119" t="str">
        <v>full_year</v>
      </c>
      <c r="P119">
        <f>COUNTIFS('Reportes chatbot'!$D$5:$D$5004,$B119,'Reportes chatbot'!$N$5:$N$5004,"approved",'Reportes chatbot'!$O$5:$O$5004,"si",'Reportes chatbot'!$C$5:$C$5004,"&gt;="&amp;DATE($A119,1,1),'Reportes chatbot'!$C$5:$C$5004,"&lt;"&amp;DATE($A119+1,1,1))</f>
        <v>0</v>
      </c>
    </row>
    <row r="120">
      <c r="A120">
        <v>2023</v>
      </c>
      <c r="B120" t="str">
        <v>16</v>
      </c>
      <c r="C120" t="str">
        <v>Puente Aranda</v>
      </c>
      <c r="D120">
        <v>6964</v>
      </c>
      <c r="E120">
        <v>7185</v>
      </c>
      <c r="F120">
        <v>249697</v>
      </c>
      <c r="G120">
        <v>2788.980244</v>
      </c>
      <c r="H120">
        <v>2877.487515</v>
      </c>
      <c r="I120">
        <v>1.031734635267088</v>
      </c>
      <c r="J120">
        <v>11</v>
      </c>
      <c r="K120">
        <v>8</v>
      </c>
      <c r="L120">
        <v>4.080108</v>
      </c>
      <c r="M120">
        <v>7.415159</v>
      </c>
      <c r="N120">
        <v>0.99279986</v>
      </c>
      <c r="O120" t="str">
        <v>full_year</v>
      </c>
      <c r="P120">
        <f>COUNTIFS('Reportes chatbot'!$D$5:$D$5004,$B120,'Reportes chatbot'!$N$5:$N$5004,"approved",'Reportes chatbot'!$O$5:$O$5004,"si",'Reportes chatbot'!$C$5:$C$5004,"&gt;="&amp;DATE($A120,1,1),'Reportes chatbot'!$C$5:$C$5004,"&lt;"&amp;DATE($A120+1,1,1))</f>
        <v>0</v>
      </c>
    </row>
    <row r="121">
      <c r="A121">
        <v>2023</v>
      </c>
      <c r="B121" t="str">
        <v>17</v>
      </c>
      <c r="C121" t="str">
        <v>La Candelaria</v>
      </c>
      <c r="D121">
        <v>1309</v>
      </c>
      <c r="E121">
        <v>674</v>
      </c>
      <c r="F121">
        <v>16782</v>
      </c>
      <c r="G121">
        <v>7800.023835</v>
      </c>
      <c r="H121">
        <v>4016.207842</v>
      </c>
      <c r="I121">
        <v>0.5148968678380443</v>
      </c>
      <c r="J121">
        <v>19</v>
      </c>
      <c r="K121">
        <v>4</v>
      </c>
      <c r="L121">
        <v>-1.356443</v>
      </c>
      <c r="M121">
        <v>-4.532578</v>
      </c>
      <c r="N121">
        <v>0.99279986</v>
      </c>
      <c r="O121" t="str">
        <v>full_year</v>
      </c>
      <c r="P121">
        <f>COUNTIFS('Reportes chatbot'!$D$5:$D$5004,$B121,'Reportes chatbot'!$N$5:$N$5004,"approved",'Reportes chatbot'!$O$5:$O$5004,"si",'Reportes chatbot'!$C$5:$C$5004,"&gt;="&amp;DATE($A121,1,1),'Reportes chatbot'!$C$5:$C$5004,"&lt;"&amp;DATE($A121+1,1,1))</f>
        <v>0</v>
      </c>
    </row>
    <row r="122">
      <c r="A122">
        <v>2023</v>
      </c>
      <c r="B122" t="str">
        <v>18</v>
      </c>
      <c r="C122" t="str">
        <v>Rafael Uribe Uribe</v>
      </c>
      <c r="D122">
        <v>5461</v>
      </c>
      <c r="E122">
        <v>6205</v>
      </c>
      <c r="F122">
        <v>375730</v>
      </c>
      <c r="G122">
        <v>1453.437309</v>
      </c>
      <c r="H122">
        <v>1651.45184</v>
      </c>
      <c r="I122">
        <v>1.1362387841054753</v>
      </c>
      <c r="J122">
        <v>14</v>
      </c>
      <c r="K122">
        <v>14</v>
      </c>
      <c r="L122">
        <v>21.680036</v>
      </c>
      <c r="M122">
        <v>6.213625</v>
      </c>
      <c r="N122">
        <v>0.99279986</v>
      </c>
      <c r="O122" t="str">
        <v>full_year</v>
      </c>
      <c r="P122">
        <f>COUNTIFS('Reportes chatbot'!$D$5:$D$5004,$B122,'Reportes chatbot'!$N$5:$N$5004,"approved",'Reportes chatbot'!$O$5:$O$5004,"si",'Reportes chatbot'!$C$5:$C$5004,"&gt;="&amp;DATE($A122,1,1),'Reportes chatbot'!$C$5:$C$5004,"&lt;"&amp;DATE($A122+1,1,1))</f>
        <v>0</v>
      </c>
    </row>
    <row r="123">
      <c r="A123">
        <v>2023</v>
      </c>
      <c r="B123" t="str">
        <v>19</v>
      </c>
      <c r="C123" t="str">
        <v>Ciudad Bolívar</v>
      </c>
      <c r="D123">
        <v>6596</v>
      </c>
      <c r="E123">
        <v>8468</v>
      </c>
      <c r="F123">
        <v>669467</v>
      </c>
      <c r="G123">
        <v>985.261409</v>
      </c>
      <c r="H123">
        <v>1264.886843</v>
      </c>
      <c r="I123">
        <v>1.2838083687083082</v>
      </c>
      <c r="J123">
        <v>13</v>
      </c>
      <c r="K123">
        <v>17</v>
      </c>
      <c r="L123">
        <v>18.292683</v>
      </c>
      <c r="M123">
        <v>-3.421533</v>
      </c>
      <c r="N123">
        <v>0.99279986</v>
      </c>
      <c r="O123" t="str">
        <v>full_year</v>
      </c>
      <c r="P123">
        <f>COUNTIFS('Reportes chatbot'!$D$5:$D$5004,$B123,'Reportes chatbot'!$N$5:$N$5004,"approved",'Reportes chatbot'!$O$5:$O$5004,"si",'Reportes chatbot'!$C$5:$C$5004,"&gt;="&amp;DATE($A123,1,1),'Reportes chatbot'!$C$5:$C$5004,"&lt;"&amp;DATE($A123+1,1,1))</f>
        <v>0</v>
      </c>
    </row>
    <row r="124">
      <c r="A124">
        <v>2023</v>
      </c>
      <c r="B124" t="str">
        <v>20</v>
      </c>
      <c r="C124" t="str">
        <v>Sumapaz</v>
      </c>
      <c r="D124">
        <v>0</v>
      </c>
      <c r="E124">
        <v>10</v>
      </c>
      <c r="F124">
        <v>3259</v>
      </c>
      <c r="G124">
        <v>0</v>
      </c>
      <c r="H124">
        <v>306.84259</v>
      </c>
      <c r="J124">
        <v>20</v>
      </c>
      <c r="K124">
        <v>20</v>
      </c>
      <c r="M124">
        <v>25</v>
      </c>
      <c r="N124">
        <v>0.99279986</v>
      </c>
      <c r="O124" t="str">
        <v>full_year</v>
      </c>
      <c r="P124">
        <f>COUNTIFS('Reportes chatbot'!$D$5:$D$5004,$B124,'Reportes chatbot'!$N$5:$N$5004,"approved",'Reportes chatbot'!$O$5:$O$5004,"si",'Reportes chatbot'!$C$5:$C$5004,"&gt;="&amp;DATE($A124,1,1),'Reportes chatbot'!$C$5:$C$5004,"&lt;"&amp;DATE($A124+1,1,1))</f>
        <v>0</v>
      </c>
    </row>
    <row r="125">
      <c r="A125">
        <v>2024</v>
      </c>
      <c r="B125" t="str">
        <v>01</v>
      </c>
      <c r="C125" t="str">
        <v>Usaquén</v>
      </c>
      <c r="D125">
        <v>8641</v>
      </c>
      <c r="E125">
        <v>8125</v>
      </c>
      <c r="F125">
        <v>586366</v>
      </c>
      <c r="G125">
        <v>1473.652974</v>
      </c>
      <c r="H125">
        <v>1385.653329</v>
      </c>
      <c r="I125">
        <v>0.940284689272075</v>
      </c>
      <c r="J125">
        <v>7</v>
      </c>
      <c r="K125">
        <v>11</v>
      </c>
      <c r="L125">
        <v>-0.02314</v>
      </c>
      <c r="M125">
        <v>-9.872435</v>
      </c>
      <c r="N125">
        <v>0.9944446100000001</v>
      </c>
      <c r="O125" t="str">
        <v>full_year</v>
      </c>
      <c r="P125">
        <f>COUNTIFS('Reportes chatbot'!$D$5:$D$5004,$B125,'Reportes chatbot'!$N$5:$N$5004,"approved",'Reportes chatbot'!$O$5:$O$5004,"si",'Reportes chatbot'!$C$5:$C$5004,"&gt;="&amp;DATE($A125,1,1),'Reportes chatbot'!$C$5:$C$5004,"&lt;"&amp;DATE($A125+1,1,1))</f>
        <v>0</v>
      </c>
    </row>
    <row r="126">
      <c r="A126">
        <v>2024</v>
      </c>
      <c r="B126" t="str">
        <v>02</v>
      </c>
      <c r="C126" t="str">
        <v>Chapinero</v>
      </c>
      <c r="D126">
        <v>10977</v>
      </c>
      <c r="E126">
        <v>6017</v>
      </c>
      <c r="F126">
        <v>161696</v>
      </c>
      <c r="G126">
        <v>6788.665149</v>
      </c>
      <c r="H126">
        <v>3721.180487</v>
      </c>
      <c r="I126">
        <v>0.5481461237132186</v>
      </c>
      <c r="J126">
        <v>5</v>
      </c>
      <c r="K126">
        <v>4</v>
      </c>
      <c r="L126">
        <v>-26.702724</v>
      </c>
      <c r="M126">
        <v>-1.295932</v>
      </c>
      <c r="N126">
        <v>0.9944446100000001</v>
      </c>
      <c r="O126" t="str">
        <v>full_year</v>
      </c>
      <c r="P126">
        <f>COUNTIFS('Reportes chatbot'!$D$5:$D$5004,$B126,'Reportes chatbot'!$N$5:$N$5004,"approved",'Reportes chatbot'!$O$5:$O$5004,"si",'Reportes chatbot'!$C$5:$C$5004,"&gt;="&amp;DATE($A126,1,1),'Reportes chatbot'!$C$5:$C$5004,"&lt;"&amp;DATE($A126+1,1,1))</f>
        <v>0</v>
      </c>
    </row>
    <row r="127">
      <c r="A127">
        <v>2024</v>
      </c>
      <c r="B127" t="str">
        <v>03</v>
      </c>
      <c r="C127" t="str">
        <v>Santa Fe</v>
      </c>
      <c r="D127">
        <v>9553</v>
      </c>
      <c r="E127">
        <v>4542</v>
      </c>
      <c r="F127">
        <v>112939</v>
      </c>
      <c r="G127">
        <v>8458.54842</v>
      </c>
      <c r="H127">
        <v>4021.64</v>
      </c>
      <c r="I127">
        <v>0.4754527373599916</v>
      </c>
      <c r="J127">
        <v>6</v>
      </c>
      <c r="K127">
        <v>3</v>
      </c>
      <c r="L127">
        <v>8.655596</v>
      </c>
      <c r="M127">
        <v>-1.174935</v>
      </c>
      <c r="N127">
        <v>0.9944446100000001</v>
      </c>
      <c r="O127" t="str">
        <v>full_year</v>
      </c>
      <c r="P127">
        <f>COUNTIFS('Reportes chatbot'!$D$5:$D$5004,$B127,'Reportes chatbot'!$N$5:$N$5004,"approved",'Reportes chatbot'!$O$5:$O$5004,"si",'Reportes chatbot'!$C$5:$C$5004,"&gt;="&amp;DATE($A127,1,1),'Reportes chatbot'!$C$5:$C$5004,"&lt;"&amp;DATE($A127+1,1,1))</f>
        <v>0</v>
      </c>
    </row>
    <row r="128">
      <c r="A128">
        <v>2024</v>
      </c>
      <c r="B128" t="str">
        <v>04</v>
      </c>
      <c r="C128" t="str">
        <v>San Cristóbal</v>
      </c>
      <c r="D128">
        <v>3236</v>
      </c>
      <c r="E128">
        <v>5893</v>
      </c>
      <c r="F128">
        <v>394656</v>
      </c>
      <c r="G128">
        <v>819.954593</v>
      </c>
      <c r="H128">
        <v>1493.199141</v>
      </c>
      <c r="I128">
        <v>1.8210754017305315</v>
      </c>
      <c r="J128">
        <v>15</v>
      </c>
      <c r="K128">
        <v>16</v>
      </c>
      <c r="L128">
        <v>-17.385754</v>
      </c>
      <c r="M128">
        <v>-16.292614</v>
      </c>
      <c r="N128">
        <v>0.9944446100000001</v>
      </c>
      <c r="O128" t="str">
        <v>full_year</v>
      </c>
      <c r="P128">
        <f>COUNTIFS('Reportes chatbot'!$D$5:$D$5004,$B128,'Reportes chatbot'!$N$5:$N$5004,"approved",'Reportes chatbot'!$O$5:$O$5004,"si",'Reportes chatbot'!$C$5:$C$5004,"&gt;="&amp;DATE($A128,1,1),'Reportes chatbot'!$C$5:$C$5004,"&lt;"&amp;DATE($A128+1,1,1))</f>
        <v>0</v>
      </c>
    </row>
    <row r="129">
      <c r="A129">
        <v>2024</v>
      </c>
      <c r="B129" t="str">
        <v>05</v>
      </c>
      <c r="C129" t="str">
        <v>Usme</v>
      </c>
      <c r="D129">
        <v>2383</v>
      </c>
      <c r="E129">
        <v>4289</v>
      </c>
      <c r="F129">
        <v>395664</v>
      </c>
      <c r="G129">
        <v>602.278701</v>
      </c>
      <c r="H129">
        <v>1084.000566</v>
      </c>
      <c r="I129">
        <v>1.799832144355854</v>
      </c>
      <c r="J129">
        <v>16</v>
      </c>
      <c r="K129">
        <v>19</v>
      </c>
      <c r="L129">
        <v>-25.227487</v>
      </c>
      <c r="M129">
        <v>-6.3128</v>
      </c>
      <c r="N129">
        <v>0.9944446100000001</v>
      </c>
      <c r="O129" t="str">
        <v>full_year</v>
      </c>
      <c r="P129">
        <f>COUNTIFS('Reportes chatbot'!$D$5:$D$5004,$B129,'Reportes chatbot'!$N$5:$N$5004,"approved",'Reportes chatbot'!$O$5:$O$5004,"si",'Reportes chatbot'!$C$5:$C$5004,"&gt;="&amp;DATE($A129,1,1),'Reportes chatbot'!$C$5:$C$5004,"&lt;"&amp;DATE($A129+1,1,1))</f>
        <v>0</v>
      </c>
    </row>
    <row r="130">
      <c r="A130">
        <v>2024</v>
      </c>
      <c r="B130" t="str">
        <v>06</v>
      </c>
      <c r="C130" t="str">
        <v>Tunjuelito</v>
      </c>
      <c r="D130">
        <v>2354</v>
      </c>
      <c r="E130">
        <v>3174</v>
      </c>
      <c r="F130">
        <v>175728</v>
      </c>
      <c r="G130">
        <v>1339.570245</v>
      </c>
      <c r="H130">
        <v>1806.200492</v>
      </c>
      <c r="I130">
        <v>1.3483432455395072</v>
      </c>
      <c r="J130">
        <v>17</v>
      </c>
      <c r="K130">
        <v>12</v>
      </c>
      <c r="L130">
        <v>-15.536419</v>
      </c>
      <c r="M130">
        <v>1.211735</v>
      </c>
      <c r="N130">
        <v>0.9944446100000001</v>
      </c>
      <c r="O130" t="str">
        <v>full_year</v>
      </c>
      <c r="P130">
        <f>COUNTIFS('Reportes chatbot'!$D$5:$D$5004,$B130,'Reportes chatbot'!$N$5:$N$5004,"approved",'Reportes chatbot'!$O$5:$O$5004,"si",'Reportes chatbot'!$C$5:$C$5004,"&gt;="&amp;DATE($A130,1,1),'Reportes chatbot'!$C$5:$C$5004,"&lt;"&amp;DATE($A130+1,1,1))</f>
        <v>0</v>
      </c>
    </row>
    <row r="131">
      <c r="A131">
        <v>2024</v>
      </c>
      <c r="B131" t="str">
        <v>07</v>
      </c>
      <c r="C131" t="str">
        <v>Bosa</v>
      </c>
      <c r="D131">
        <v>5346</v>
      </c>
      <c r="E131">
        <v>7479</v>
      </c>
      <c r="F131">
        <v>760580</v>
      </c>
      <c r="G131">
        <v>702.884641</v>
      </c>
      <c r="H131">
        <v>983.328512</v>
      </c>
      <c r="I131">
        <v>1.398989898989899</v>
      </c>
      <c r="J131">
        <v>11</v>
      </c>
      <c r="K131">
        <v>18</v>
      </c>
      <c r="L131">
        <v>-26.60626</v>
      </c>
      <c r="M131">
        <v>-19.110967</v>
      </c>
      <c r="N131">
        <v>0.9944446100000001</v>
      </c>
      <c r="O131" t="str">
        <v>full_year</v>
      </c>
      <c r="P131">
        <f>COUNTIFS('Reportes chatbot'!$D$5:$D$5004,$B131,'Reportes chatbot'!$N$5:$N$5004,"approved",'Reportes chatbot'!$O$5:$O$5004,"si",'Reportes chatbot'!$C$5:$C$5004,"&gt;="&amp;DATE($A131,1,1),'Reportes chatbot'!$C$5:$C$5004,"&lt;"&amp;DATE($A131+1,1,1))</f>
        <v>0</v>
      </c>
    </row>
    <row r="132">
      <c r="A132">
        <v>2024</v>
      </c>
      <c r="B132" t="str">
        <v>08</v>
      </c>
      <c r="C132" t="str">
        <v>Kennedy</v>
      </c>
      <c r="D132">
        <v>11961</v>
      </c>
      <c r="E132">
        <v>15910</v>
      </c>
      <c r="F132">
        <v>1099572</v>
      </c>
      <c r="G132">
        <v>1087.786884</v>
      </c>
      <c r="H132">
        <v>1446.926622</v>
      </c>
      <c r="I132">
        <v>1.330156341443023</v>
      </c>
      <c r="J132">
        <v>3</v>
      </c>
      <c r="K132">
        <v>13</v>
      </c>
      <c r="L132">
        <v>-25.947251</v>
      </c>
      <c r="M132">
        <v>-9.277528</v>
      </c>
      <c r="N132">
        <v>0.9944446100000001</v>
      </c>
      <c r="O132" t="str">
        <v>full_year</v>
      </c>
      <c r="P132">
        <f>COUNTIFS('Reportes chatbot'!$D$5:$D$5004,$B132,'Reportes chatbot'!$N$5:$N$5004,"approved",'Reportes chatbot'!$O$5:$O$5004,"si",'Reportes chatbot'!$C$5:$C$5004,"&gt;="&amp;DATE($A132,1,1),'Reportes chatbot'!$C$5:$C$5004,"&lt;"&amp;DATE($A132+1,1,1))</f>
        <v>0</v>
      </c>
    </row>
    <row r="133">
      <c r="A133">
        <v>2024</v>
      </c>
      <c r="B133" t="str">
        <v>09</v>
      </c>
      <c r="C133" t="str">
        <v>Fontibón</v>
      </c>
      <c r="D133">
        <v>8185</v>
      </c>
      <c r="E133">
        <v>6892</v>
      </c>
      <c r="F133">
        <v>385603</v>
      </c>
      <c r="G133">
        <v>2122.649461</v>
      </c>
      <c r="H133">
        <v>1787.330493</v>
      </c>
      <c r="I133">
        <v>0.842028100183262</v>
      </c>
      <c r="J133">
        <v>8</v>
      </c>
      <c r="K133">
        <v>9</v>
      </c>
      <c r="L133">
        <v>-8.424704</v>
      </c>
      <c r="M133">
        <v>-9.873153</v>
      </c>
      <c r="N133">
        <v>0.9944446100000001</v>
      </c>
      <c r="O133" t="str">
        <v>full_year</v>
      </c>
      <c r="P133">
        <f>COUNTIFS('Reportes chatbot'!$D$5:$D$5004,$B133,'Reportes chatbot'!$N$5:$N$5004,"approved",'Reportes chatbot'!$O$5:$O$5004,"si",'Reportes chatbot'!$C$5:$C$5004,"&gt;="&amp;DATE($A133,1,1),'Reportes chatbot'!$C$5:$C$5004,"&lt;"&amp;DATE($A133+1,1,1))</f>
        <v>0</v>
      </c>
    </row>
    <row r="134">
      <c r="A134">
        <v>2024</v>
      </c>
      <c r="B134" t="str">
        <v>10</v>
      </c>
      <c r="C134" t="str">
        <v>Engativá</v>
      </c>
      <c r="D134">
        <v>12343</v>
      </c>
      <c r="E134">
        <v>15032</v>
      </c>
      <c r="F134">
        <v>831376</v>
      </c>
      <c r="G134">
        <v>1484.647139</v>
      </c>
      <c r="H134">
        <v>1808.086834</v>
      </c>
      <c r="I134">
        <v>1.2178562748116342</v>
      </c>
      <c r="J134">
        <v>2</v>
      </c>
      <c r="K134">
        <v>10</v>
      </c>
      <c r="L134">
        <v>-20.151378</v>
      </c>
      <c r="M134">
        <v>-10.507829</v>
      </c>
      <c r="N134">
        <v>0.9944446100000001</v>
      </c>
      <c r="O134" t="str">
        <v>full_year</v>
      </c>
      <c r="P134">
        <f>COUNTIFS('Reportes chatbot'!$D$5:$D$5004,$B134,'Reportes chatbot'!$N$5:$N$5004,"approved",'Reportes chatbot'!$O$5:$O$5004,"si",'Reportes chatbot'!$C$5:$C$5004,"&gt;="&amp;DATE($A134,1,1),'Reportes chatbot'!$C$5:$C$5004,"&lt;"&amp;DATE($A134+1,1,1))</f>
        <v>0</v>
      </c>
    </row>
    <row r="135">
      <c r="A135">
        <v>2024</v>
      </c>
      <c r="B135" t="str">
        <v>11</v>
      </c>
      <c r="C135" t="str">
        <v>Suba</v>
      </c>
      <c r="D135">
        <v>12836</v>
      </c>
      <c r="E135">
        <v>14669</v>
      </c>
      <c r="F135">
        <v>1247542</v>
      </c>
      <c r="G135">
        <v>1028.903235</v>
      </c>
      <c r="H135">
        <v>1175.832156</v>
      </c>
      <c r="I135">
        <v>1.1428014957930819</v>
      </c>
      <c r="J135">
        <v>1</v>
      </c>
      <c r="K135">
        <v>14</v>
      </c>
      <c r="L135">
        <v>-27.299502</v>
      </c>
      <c r="M135">
        <v>-12.256251</v>
      </c>
      <c r="N135">
        <v>0.9944446100000001</v>
      </c>
      <c r="O135" t="str">
        <v>full_year</v>
      </c>
      <c r="P135">
        <f>COUNTIFS('Reportes chatbot'!$D$5:$D$5004,$B135,'Reportes chatbot'!$N$5:$N$5004,"approved",'Reportes chatbot'!$O$5:$O$5004,"si",'Reportes chatbot'!$C$5:$C$5004,"&gt;="&amp;DATE($A135,1,1),'Reportes chatbot'!$C$5:$C$5004,"&lt;"&amp;DATE($A135+1,1,1))</f>
        <v>0</v>
      </c>
    </row>
    <row r="136">
      <c r="A136">
        <v>2024</v>
      </c>
      <c r="B136" t="str">
        <v>12</v>
      </c>
      <c r="C136" t="str">
        <v>Barrios Unidos</v>
      </c>
      <c r="D136">
        <v>5141</v>
      </c>
      <c r="E136">
        <v>5364</v>
      </c>
      <c r="F136">
        <v>135762</v>
      </c>
      <c r="G136">
        <v>3786.773913</v>
      </c>
      <c r="H136">
        <v>3951.031953</v>
      </c>
      <c r="I136">
        <v>1.0433767749465084</v>
      </c>
      <c r="J136">
        <v>12</v>
      </c>
      <c r="K136">
        <v>6</v>
      </c>
      <c r="L136">
        <v>-25.825999</v>
      </c>
      <c r="M136">
        <v>-4.623044</v>
      </c>
      <c r="N136">
        <v>0.9944446100000001</v>
      </c>
      <c r="O136" t="str">
        <v>full_year</v>
      </c>
      <c r="P136">
        <f>COUNTIFS('Reportes chatbot'!$D$5:$D$5004,$B136,'Reportes chatbot'!$N$5:$N$5004,"approved",'Reportes chatbot'!$O$5:$O$5004,"si",'Reportes chatbot'!$C$5:$C$5004,"&gt;="&amp;DATE($A136,1,1),'Reportes chatbot'!$C$5:$C$5004,"&lt;"&amp;DATE($A136+1,1,1))</f>
        <v>0</v>
      </c>
    </row>
    <row r="137">
      <c r="A137">
        <v>2024</v>
      </c>
      <c r="B137" t="str">
        <v>13</v>
      </c>
      <c r="C137" t="str">
        <v>Teusaquillo</v>
      </c>
      <c r="D137">
        <v>7545</v>
      </c>
      <c r="E137">
        <v>5806</v>
      </c>
      <c r="F137">
        <v>155013</v>
      </c>
      <c r="G137">
        <v>4867.333707</v>
      </c>
      <c r="H137">
        <v>3745.492314</v>
      </c>
      <c r="I137">
        <v>0.7695162359178264</v>
      </c>
      <c r="J137">
        <v>9</v>
      </c>
      <c r="K137">
        <v>5</v>
      </c>
      <c r="L137">
        <v>-26.231912</v>
      </c>
      <c r="M137">
        <v>-7.207927</v>
      </c>
      <c r="N137">
        <v>0.9944446100000001</v>
      </c>
      <c r="O137" t="str">
        <v>full_year</v>
      </c>
      <c r="P137">
        <f>COUNTIFS('Reportes chatbot'!$D$5:$D$5004,$B137,'Reportes chatbot'!$N$5:$N$5004,"approved",'Reportes chatbot'!$O$5:$O$5004,"si",'Reportes chatbot'!$C$5:$C$5004,"&gt;="&amp;DATE($A137,1,1),'Reportes chatbot'!$C$5:$C$5004,"&lt;"&amp;DATE($A137+1,1,1))</f>
        <v>0</v>
      </c>
    </row>
    <row r="138">
      <c r="A138">
        <v>2024</v>
      </c>
      <c r="B138" t="str">
        <v>14</v>
      </c>
      <c r="C138" t="str">
        <v>Los Mártires</v>
      </c>
      <c r="D138">
        <v>11499</v>
      </c>
      <c r="E138">
        <v>5107</v>
      </c>
      <c r="F138">
        <v>75403</v>
      </c>
      <c r="G138">
        <v>15250.056364</v>
      </c>
      <c r="H138">
        <v>6772.940069</v>
      </c>
      <c r="I138">
        <v>0.4441255761370554</v>
      </c>
      <c r="J138">
        <v>4</v>
      </c>
      <c r="K138">
        <v>1</v>
      </c>
      <c r="L138">
        <v>26.404309</v>
      </c>
      <c r="M138">
        <v>6.196714</v>
      </c>
      <c r="N138">
        <v>0.9944446100000001</v>
      </c>
      <c r="O138" t="str">
        <v>full_year</v>
      </c>
      <c r="P138">
        <f>COUNTIFS('Reportes chatbot'!$D$5:$D$5004,$B138,'Reportes chatbot'!$N$5:$N$5004,"approved",'Reportes chatbot'!$O$5:$O$5004,"si",'Reportes chatbot'!$C$5:$C$5004,"&gt;="&amp;DATE($A138,1,1),'Reportes chatbot'!$C$5:$C$5004,"&lt;"&amp;DATE($A138+1,1,1))</f>
        <v>0</v>
      </c>
    </row>
    <row r="139">
      <c r="A139">
        <v>2024</v>
      </c>
      <c r="B139" t="str">
        <v>15</v>
      </c>
      <c r="C139" t="str">
        <v>Antonio Nariño</v>
      </c>
      <c r="D139">
        <v>2244</v>
      </c>
      <c r="E139">
        <v>3277</v>
      </c>
      <c r="F139">
        <v>77987</v>
      </c>
      <c r="G139">
        <v>2877.402644</v>
      </c>
      <c r="H139">
        <v>4201.982382</v>
      </c>
      <c r="I139">
        <v>1.4603386809269163</v>
      </c>
      <c r="J139">
        <v>18</v>
      </c>
      <c r="K139">
        <v>7</v>
      </c>
      <c r="L139">
        <v>-30.483271</v>
      </c>
      <c r="M139">
        <v>-3.44726</v>
      </c>
      <c r="N139">
        <v>0.9944446100000001</v>
      </c>
      <c r="O139" t="str">
        <v>full_year</v>
      </c>
      <c r="P139">
        <f>COUNTIFS('Reportes chatbot'!$D$5:$D$5004,$B139,'Reportes chatbot'!$N$5:$N$5004,"approved",'Reportes chatbot'!$O$5:$O$5004,"si",'Reportes chatbot'!$C$5:$C$5004,"&gt;="&amp;DATE($A139,1,1),'Reportes chatbot'!$C$5:$C$5004,"&lt;"&amp;DATE($A139+1,1,1))</f>
        <v>0</v>
      </c>
    </row>
    <row r="140">
      <c r="A140">
        <v>2024</v>
      </c>
      <c r="B140" t="str">
        <v>16</v>
      </c>
      <c r="C140" t="str">
        <v>Puente Aranda</v>
      </c>
      <c r="D140">
        <v>5614</v>
      </c>
      <c r="E140">
        <v>8186</v>
      </c>
      <c r="F140">
        <v>249697</v>
      </c>
      <c r="G140">
        <v>2248.32497</v>
      </c>
      <c r="H140">
        <v>3278.373389</v>
      </c>
      <c r="I140">
        <v>1.4581403633772712</v>
      </c>
      <c r="J140">
        <v>10</v>
      </c>
      <c r="K140">
        <v>8</v>
      </c>
      <c r="L140">
        <v>-19.385411</v>
      </c>
      <c r="M140">
        <v>13.931802</v>
      </c>
      <c r="N140">
        <v>0.9944446100000001</v>
      </c>
      <c r="O140" t="str">
        <v>full_year</v>
      </c>
      <c r="P140">
        <f>COUNTIFS('Reportes chatbot'!$D$5:$D$5004,$B140,'Reportes chatbot'!$N$5:$N$5004,"approved",'Reportes chatbot'!$O$5:$O$5004,"si",'Reportes chatbot'!$C$5:$C$5004,"&gt;="&amp;DATE($A140,1,1),'Reportes chatbot'!$C$5:$C$5004,"&lt;"&amp;DATE($A140+1,1,1))</f>
        <v>0</v>
      </c>
    </row>
    <row r="141">
      <c r="A141">
        <v>2024</v>
      </c>
      <c r="B141" t="str">
        <v>17</v>
      </c>
      <c r="C141" t="str">
        <v>La Candelaria</v>
      </c>
      <c r="D141">
        <v>1798</v>
      </c>
      <c r="E141">
        <v>739</v>
      </c>
      <c r="F141">
        <v>16689</v>
      </c>
      <c r="G141">
        <v>10773.563425</v>
      </c>
      <c r="H141">
        <v>4428.066391</v>
      </c>
      <c r="I141">
        <v>0.41101223581757507</v>
      </c>
      <c r="J141">
        <v>19</v>
      </c>
      <c r="K141">
        <v>2</v>
      </c>
      <c r="L141">
        <v>37.356761</v>
      </c>
      <c r="M141">
        <v>9.643917</v>
      </c>
      <c r="N141">
        <v>0.9944446100000001</v>
      </c>
      <c r="O141" t="str">
        <v>full_year</v>
      </c>
      <c r="P141">
        <f>COUNTIFS('Reportes chatbot'!$D$5:$D$5004,$B141,'Reportes chatbot'!$N$5:$N$5004,"approved",'Reportes chatbot'!$O$5:$O$5004,"si",'Reportes chatbot'!$C$5:$C$5004,"&gt;="&amp;DATE($A141,1,1),'Reportes chatbot'!$C$5:$C$5004,"&lt;"&amp;DATE($A141+1,1,1))</f>
        <v>0</v>
      </c>
    </row>
    <row r="142">
      <c r="A142">
        <v>2024</v>
      </c>
      <c r="B142" t="str">
        <v>18</v>
      </c>
      <c r="C142" t="str">
        <v>Rafael Uribe Uribe</v>
      </c>
      <c r="D142">
        <v>3354</v>
      </c>
      <c r="E142">
        <v>6596</v>
      </c>
      <c r="F142">
        <v>375542</v>
      </c>
      <c r="G142">
        <v>893.10916</v>
      </c>
      <c r="H142">
        <v>1756.394757</v>
      </c>
      <c r="I142">
        <v>1.9666070363744783</v>
      </c>
      <c r="J142">
        <v>14</v>
      </c>
      <c r="K142">
        <v>15</v>
      </c>
      <c r="L142">
        <v>-38.582677</v>
      </c>
      <c r="M142">
        <v>6.30137</v>
      </c>
      <c r="N142">
        <v>0.9944446100000001</v>
      </c>
      <c r="O142" t="str">
        <v>full_year</v>
      </c>
      <c r="P142">
        <f>COUNTIFS('Reportes chatbot'!$D$5:$D$5004,$B142,'Reportes chatbot'!$N$5:$N$5004,"approved",'Reportes chatbot'!$O$5:$O$5004,"si",'Reportes chatbot'!$C$5:$C$5004,"&gt;="&amp;DATE($A142,1,1),'Reportes chatbot'!$C$5:$C$5004,"&lt;"&amp;DATE($A142+1,1,1))</f>
        <v>0</v>
      </c>
    </row>
    <row r="143">
      <c r="A143">
        <v>2024</v>
      </c>
      <c r="B143" t="str">
        <v>19</v>
      </c>
      <c r="C143" t="str">
        <v>Ciudad Bolívar</v>
      </c>
      <c r="D143">
        <v>4769</v>
      </c>
      <c r="E143">
        <v>7331</v>
      </c>
      <c r="F143">
        <v>677540</v>
      </c>
      <c r="G143">
        <v>703.869882</v>
      </c>
      <c r="H143">
        <v>1082.002539</v>
      </c>
      <c r="I143">
        <v>1.537219542881107</v>
      </c>
      <c r="J143">
        <v>13</v>
      </c>
      <c r="K143">
        <v>17</v>
      </c>
      <c r="L143">
        <v>-27.698605</v>
      </c>
      <c r="M143">
        <v>-13.427019</v>
      </c>
      <c r="N143">
        <v>0.9944446100000001</v>
      </c>
      <c r="O143" t="str">
        <v>full_year</v>
      </c>
      <c r="P143">
        <f>COUNTIFS('Reportes chatbot'!$D$5:$D$5004,$B143,'Reportes chatbot'!$N$5:$N$5004,"approved",'Reportes chatbot'!$O$5:$O$5004,"si",'Reportes chatbot'!$C$5:$C$5004,"&gt;="&amp;DATE($A143,1,1),'Reportes chatbot'!$C$5:$C$5004,"&lt;"&amp;DATE($A143+1,1,1))</f>
        <v>0</v>
      </c>
    </row>
    <row r="144">
      <c r="A144">
        <v>2024</v>
      </c>
      <c r="B144" t="str">
        <v>20</v>
      </c>
      <c r="C144" t="str">
        <v>Sumapaz</v>
      </c>
      <c r="D144">
        <v>0</v>
      </c>
      <c r="E144">
        <v>3</v>
      </c>
      <c r="F144">
        <v>3305</v>
      </c>
      <c r="G144">
        <v>0</v>
      </c>
      <c r="H144">
        <v>90.771558</v>
      </c>
      <c r="J144">
        <v>20</v>
      </c>
      <c r="K144">
        <v>20</v>
      </c>
      <c r="M144">
        <v>-70</v>
      </c>
      <c r="N144">
        <v>0.9944446100000001</v>
      </c>
      <c r="O144" t="str">
        <v>full_year</v>
      </c>
      <c r="P144">
        <f>COUNTIFS('Reportes chatbot'!$D$5:$D$5004,$B144,'Reportes chatbot'!$N$5:$N$5004,"approved",'Reportes chatbot'!$O$5:$O$5004,"si",'Reportes chatbot'!$C$5:$C$5004,"&gt;="&amp;DATE($A144,1,1),'Reportes chatbot'!$C$5:$C$5004,"&lt;"&amp;DATE($A144+1,1,1))</f>
        <v>0</v>
      </c>
    </row>
    <row r="145">
      <c r="A145">
        <v>2025</v>
      </c>
      <c r="B145" t="str">
        <v>01</v>
      </c>
      <c r="C145" t="str">
        <v>Usaquén</v>
      </c>
      <c r="D145">
        <v>6847</v>
      </c>
      <c r="E145">
        <v>8316</v>
      </c>
      <c r="F145">
        <v>586286</v>
      </c>
      <c r="G145">
        <v>1167.860055</v>
      </c>
      <c r="H145">
        <v>1418.420361</v>
      </c>
      <c r="I145">
        <v>1.2145465167226523</v>
      </c>
      <c r="J145">
        <v>6</v>
      </c>
      <c r="K145">
        <v>12</v>
      </c>
      <c r="L145">
        <v>-20.761486</v>
      </c>
      <c r="M145">
        <v>2.350769</v>
      </c>
      <c r="N145">
        <v>0.8230533099999999</v>
      </c>
      <c r="O145" t="str">
        <v>full_year</v>
      </c>
      <c r="P145">
        <f>COUNTIFS('Reportes chatbot'!$D$5:$D$5004,$B145,'Reportes chatbot'!$N$5:$N$5004,"approved",'Reportes chatbot'!$O$5:$O$5004,"si",'Reportes chatbot'!$C$5:$C$5004,"&gt;="&amp;DATE($A145,1,1),'Reportes chatbot'!$C$5:$C$5004,"&lt;"&amp;DATE($A145+1,1,1))</f>
        <v>0</v>
      </c>
    </row>
    <row r="146">
      <c r="A146">
        <v>2025</v>
      </c>
      <c r="B146" t="str">
        <v>02</v>
      </c>
      <c r="C146" t="str">
        <v>Chapinero</v>
      </c>
      <c r="D146">
        <v>8041</v>
      </c>
      <c r="E146">
        <v>6627</v>
      </c>
      <c r="F146">
        <v>161162</v>
      </c>
      <c r="G146">
        <v>4989.389558</v>
      </c>
      <c r="H146">
        <v>4112.011516</v>
      </c>
      <c r="I146">
        <v>0.8241512249720184</v>
      </c>
      <c r="J146">
        <v>4</v>
      </c>
      <c r="K146">
        <v>3</v>
      </c>
      <c r="L146">
        <v>-26.746834</v>
      </c>
      <c r="M146">
        <v>10.137942</v>
      </c>
      <c r="N146">
        <v>0.8230533099999999</v>
      </c>
      <c r="O146" t="str">
        <v>full_year</v>
      </c>
      <c r="P146">
        <f>COUNTIFS('Reportes chatbot'!$D$5:$D$5004,$B146,'Reportes chatbot'!$N$5:$N$5004,"approved",'Reportes chatbot'!$O$5:$O$5004,"si",'Reportes chatbot'!$C$5:$C$5004,"&gt;="&amp;DATE($A146,1,1),'Reportes chatbot'!$C$5:$C$5004,"&lt;"&amp;DATE($A146+1,1,1))</f>
        <v>0</v>
      </c>
    </row>
    <row r="147">
      <c r="A147">
        <v>2025</v>
      </c>
      <c r="B147" t="str">
        <v>03</v>
      </c>
      <c r="C147" t="str">
        <v>Santa Fe</v>
      </c>
      <c r="D147">
        <v>5466</v>
      </c>
      <c r="E147">
        <v>4712</v>
      </c>
      <c r="F147">
        <v>113315</v>
      </c>
      <c r="G147">
        <v>4823.721484</v>
      </c>
      <c r="H147">
        <v>4158.319728</v>
      </c>
      <c r="I147">
        <v>0.8620563483351629</v>
      </c>
      <c r="J147">
        <v>9</v>
      </c>
      <c r="K147">
        <v>4</v>
      </c>
      <c r="L147">
        <v>-42.782372</v>
      </c>
      <c r="M147">
        <v>3.742845</v>
      </c>
      <c r="N147">
        <v>0.8230533099999999</v>
      </c>
      <c r="O147" t="str">
        <v>full_year</v>
      </c>
      <c r="P147">
        <f>COUNTIFS('Reportes chatbot'!$D$5:$D$5004,$B147,'Reportes chatbot'!$N$5:$N$5004,"approved",'Reportes chatbot'!$O$5:$O$5004,"si",'Reportes chatbot'!$C$5:$C$5004,"&gt;="&amp;DATE($A147,1,1),'Reportes chatbot'!$C$5:$C$5004,"&lt;"&amp;DATE($A147+1,1,1))</f>
        <v>0</v>
      </c>
    </row>
    <row r="148">
      <c r="A148">
        <v>2025</v>
      </c>
      <c r="B148" t="str">
        <v>04</v>
      </c>
      <c r="C148" t="str">
        <v>San Cristóbal</v>
      </c>
      <c r="D148">
        <v>2765</v>
      </c>
      <c r="E148">
        <v>5728</v>
      </c>
      <c r="F148">
        <v>394686</v>
      </c>
      <c r="G148">
        <v>700.556898</v>
      </c>
      <c r="H148">
        <v>1451.280258</v>
      </c>
      <c r="I148">
        <v>2.071609403254973</v>
      </c>
      <c r="J148">
        <v>15</v>
      </c>
      <c r="K148">
        <v>16</v>
      </c>
      <c r="L148">
        <v>-14.555006</v>
      </c>
      <c r="M148">
        <v>-2.799932</v>
      </c>
      <c r="N148">
        <v>0.8230533099999999</v>
      </c>
      <c r="O148" t="str">
        <v>full_year</v>
      </c>
      <c r="P148">
        <f>COUNTIFS('Reportes chatbot'!$D$5:$D$5004,$B148,'Reportes chatbot'!$N$5:$N$5004,"approved",'Reportes chatbot'!$O$5:$O$5004,"si",'Reportes chatbot'!$C$5:$C$5004,"&gt;="&amp;DATE($A148,1,1),'Reportes chatbot'!$C$5:$C$5004,"&lt;"&amp;DATE($A148+1,1,1))</f>
        <v>0</v>
      </c>
    </row>
    <row r="149">
      <c r="A149">
        <v>2025</v>
      </c>
      <c r="B149" t="str">
        <v>05</v>
      </c>
      <c r="C149" t="str">
        <v>Usme</v>
      </c>
      <c r="D149">
        <v>2139</v>
      </c>
      <c r="E149">
        <v>4122</v>
      </c>
      <c r="F149">
        <v>399153</v>
      </c>
      <c r="G149">
        <v>535.884736</v>
      </c>
      <c r="H149">
        <v>1032.686714</v>
      </c>
      <c r="I149">
        <v>1.9270687237026647</v>
      </c>
      <c r="J149">
        <v>17</v>
      </c>
      <c r="K149">
        <v>19</v>
      </c>
      <c r="L149">
        <v>-10.239194</v>
      </c>
      <c r="M149">
        <v>-3.893682</v>
      </c>
      <c r="N149">
        <v>0.8230533099999999</v>
      </c>
      <c r="O149" t="str">
        <v>full_year</v>
      </c>
      <c r="P149">
        <f>COUNTIFS('Reportes chatbot'!$D$5:$D$5004,$B149,'Reportes chatbot'!$N$5:$N$5004,"approved",'Reportes chatbot'!$O$5:$O$5004,"si",'Reportes chatbot'!$C$5:$C$5004,"&gt;="&amp;DATE($A149,1,1),'Reportes chatbot'!$C$5:$C$5004,"&lt;"&amp;DATE($A149+1,1,1))</f>
        <v>0</v>
      </c>
    </row>
    <row r="150">
      <c r="A150">
        <v>2025</v>
      </c>
      <c r="B150" t="str">
        <v>06</v>
      </c>
      <c r="C150" t="str">
        <v>Tunjuelito</v>
      </c>
      <c r="D150">
        <v>2215</v>
      </c>
      <c r="E150">
        <v>3179</v>
      </c>
      <c r="F150">
        <v>175399</v>
      </c>
      <c r="G150">
        <v>1262.835022</v>
      </c>
      <c r="H150">
        <v>1812.439067</v>
      </c>
      <c r="I150">
        <v>1.435214446952596</v>
      </c>
      <c r="J150">
        <v>16</v>
      </c>
      <c r="K150">
        <v>10</v>
      </c>
      <c r="L150">
        <v>-5.904843</v>
      </c>
      <c r="M150">
        <v>0.15753</v>
      </c>
      <c r="N150">
        <v>0.8230533099999999</v>
      </c>
      <c r="O150" t="str">
        <v>full_year</v>
      </c>
      <c r="P150">
        <f>COUNTIFS('Reportes chatbot'!$D$5:$D$5004,$B150,'Reportes chatbot'!$N$5:$N$5004,"approved",'Reportes chatbot'!$O$5:$O$5004,"si",'Reportes chatbot'!$C$5:$C$5004,"&gt;="&amp;DATE($A150,1,1),'Reportes chatbot'!$C$5:$C$5004,"&lt;"&amp;DATE($A150+1,1,1))</f>
        <v>0</v>
      </c>
    </row>
    <row r="151">
      <c r="A151">
        <v>2025</v>
      </c>
      <c r="B151" t="str">
        <v>07</v>
      </c>
      <c r="C151" t="str">
        <v>Bosa</v>
      </c>
      <c r="D151">
        <v>4848</v>
      </c>
      <c r="E151">
        <v>7636</v>
      </c>
      <c r="F151">
        <v>768002</v>
      </c>
      <c r="G151">
        <v>631.248356</v>
      </c>
      <c r="H151">
        <v>994.268244</v>
      </c>
      <c r="I151">
        <v>1.575082508250825</v>
      </c>
      <c r="J151">
        <v>10</v>
      </c>
      <c r="K151">
        <v>17</v>
      </c>
      <c r="L151">
        <v>-9.315376</v>
      </c>
      <c r="M151">
        <v>2.099211</v>
      </c>
      <c r="N151">
        <v>0.8230533099999999</v>
      </c>
      <c r="O151" t="str">
        <v>full_year</v>
      </c>
      <c r="P151">
        <f>COUNTIFS('Reportes chatbot'!$D$5:$D$5004,$B151,'Reportes chatbot'!$N$5:$N$5004,"approved",'Reportes chatbot'!$O$5:$O$5004,"si",'Reportes chatbot'!$C$5:$C$5004,"&gt;="&amp;DATE($A151,1,1),'Reportes chatbot'!$C$5:$C$5004,"&lt;"&amp;DATE($A151+1,1,1))</f>
        <v>0</v>
      </c>
    </row>
    <row r="152">
      <c r="A152">
        <v>2025</v>
      </c>
      <c r="B152" t="str">
        <v>08</v>
      </c>
      <c r="C152" t="str">
        <v>Kennedy</v>
      </c>
      <c r="D152">
        <v>9354</v>
      </c>
      <c r="E152">
        <v>15677</v>
      </c>
      <c r="F152">
        <v>1103801</v>
      </c>
      <c r="G152">
        <v>847.435362</v>
      </c>
      <c r="H152">
        <v>1420.274125</v>
      </c>
      <c r="I152">
        <v>1.6759675005345307</v>
      </c>
      <c r="J152">
        <v>3</v>
      </c>
      <c r="K152">
        <v>15</v>
      </c>
      <c r="L152">
        <v>-21.795836</v>
      </c>
      <c r="M152">
        <v>-1.464488</v>
      </c>
      <c r="N152">
        <v>0.8230533099999999</v>
      </c>
      <c r="O152" t="str">
        <v>full_year</v>
      </c>
      <c r="P152">
        <f>COUNTIFS('Reportes chatbot'!$D$5:$D$5004,$B152,'Reportes chatbot'!$N$5:$N$5004,"approved",'Reportes chatbot'!$O$5:$O$5004,"si",'Reportes chatbot'!$C$5:$C$5004,"&gt;="&amp;DATE($A152,1,1),'Reportes chatbot'!$C$5:$C$5004,"&lt;"&amp;DATE($A152+1,1,1))</f>
        <v>0</v>
      </c>
    </row>
    <row r="153">
      <c r="A153">
        <v>2025</v>
      </c>
      <c r="B153" t="str">
        <v>09</v>
      </c>
      <c r="C153" t="str">
        <v>Fontibón</v>
      </c>
      <c r="D153">
        <v>6598</v>
      </c>
      <c r="E153">
        <v>7146</v>
      </c>
      <c r="F153">
        <v>385455</v>
      </c>
      <c r="G153">
        <v>1711.743264</v>
      </c>
      <c r="H153">
        <v>1853.912908</v>
      </c>
      <c r="I153">
        <v>1.083055471354956</v>
      </c>
      <c r="J153">
        <v>7</v>
      </c>
      <c r="K153">
        <v>9</v>
      </c>
      <c r="L153">
        <v>-19.389126</v>
      </c>
      <c r="M153">
        <v>3.685432</v>
      </c>
      <c r="N153">
        <v>0.8230533099999999</v>
      </c>
      <c r="O153" t="str">
        <v>full_year</v>
      </c>
      <c r="P153">
        <f>COUNTIFS('Reportes chatbot'!$D$5:$D$5004,$B153,'Reportes chatbot'!$N$5:$N$5004,"approved",'Reportes chatbot'!$O$5:$O$5004,"si",'Reportes chatbot'!$C$5:$C$5004,"&gt;="&amp;DATE($A153,1,1),'Reportes chatbot'!$C$5:$C$5004,"&lt;"&amp;DATE($A153+1,1,1))</f>
        <v>0</v>
      </c>
    </row>
    <row r="154">
      <c r="A154">
        <v>2025</v>
      </c>
      <c r="B154" t="str">
        <v>10</v>
      </c>
      <c r="C154" t="str">
        <v>Engativá</v>
      </c>
      <c r="D154">
        <v>10209</v>
      </c>
      <c r="E154">
        <v>16019</v>
      </c>
      <c r="F154">
        <v>831165</v>
      </c>
      <c r="G154">
        <v>1228.275974</v>
      </c>
      <c r="H154">
        <v>1927.294821</v>
      </c>
      <c r="I154">
        <v>1.5691056910569106</v>
      </c>
      <c r="J154">
        <v>2</v>
      </c>
      <c r="K154">
        <v>11</v>
      </c>
      <c r="L154">
        <v>-17.289152</v>
      </c>
      <c r="M154">
        <v>6.565993</v>
      </c>
      <c r="N154">
        <v>0.8230533099999999</v>
      </c>
      <c r="O154" t="str">
        <v>full_year</v>
      </c>
      <c r="P154">
        <f>COUNTIFS('Reportes chatbot'!$D$5:$D$5004,$B154,'Reportes chatbot'!$N$5:$N$5004,"approved",'Reportes chatbot'!$O$5:$O$5004,"si",'Reportes chatbot'!$C$5:$C$5004,"&gt;="&amp;DATE($A154,1,1),'Reportes chatbot'!$C$5:$C$5004,"&lt;"&amp;DATE($A154+1,1,1))</f>
        <v>0</v>
      </c>
    </row>
    <row r="155">
      <c r="A155">
        <v>2025</v>
      </c>
      <c r="B155" t="str">
        <v>11</v>
      </c>
      <c r="C155" t="str">
        <v>Suba</v>
      </c>
      <c r="D155">
        <v>10775</v>
      </c>
      <c r="E155">
        <v>15081</v>
      </c>
      <c r="F155">
        <v>1251652</v>
      </c>
      <c r="G155">
        <v>860.862284</v>
      </c>
      <c r="H155">
        <v>1204.887621</v>
      </c>
      <c r="I155">
        <v>1.3996287703016241</v>
      </c>
      <c r="J155">
        <v>1</v>
      </c>
      <c r="K155">
        <v>14</v>
      </c>
      <c r="L155">
        <v>-16.056404</v>
      </c>
      <c r="M155">
        <v>2.808644</v>
      </c>
      <c r="N155">
        <v>0.8230533099999999</v>
      </c>
      <c r="O155" t="str">
        <v>full_year</v>
      </c>
      <c r="P155">
        <f>COUNTIFS('Reportes chatbot'!$D$5:$D$5004,$B155,'Reportes chatbot'!$N$5:$N$5004,"approved",'Reportes chatbot'!$O$5:$O$5004,"si",'Reportes chatbot'!$C$5:$C$5004,"&gt;="&amp;DATE($A155,1,1),'Reportes chatbot'!$C$5:$C$5004,"&lt;"&amp;DATE($A155+1,1,1))</f>
        <v>0</v>
      </c>
    </row>
    <row r="156">
      <c r="A156">
        <v>2025</v>
      </c>
      <c r="B156" t="str">
        <v>12</v>
      </c>
      <c r="C156" t="str">
        <v>Barrios Unidos</v>
      </c>
      <c r="D156">
        <v>4006</v>
      </c>
      <c r="E156">
        <v>6113</v>
      </c>
      <c r="F156">
        <v>135332</v>
      </c>
      <c r="G156">
        <v>2960.127686</v>
      </c>
      <c r="H156">
        <v>4517.039577</v>
      </c>
      <c r="I156">
        <v>1.5259610584123815</v>
      </c>
      <c r="J156">
        <v>13</v>
      </c>
      <c r="K156">
        <v>6</v>
      </c>
      <c r="L156">
        <v>-22.077417</v>
      </c>
      <c r="M156">
        <v>13.96346</v>
      </c>
      <c r="N156">
        <v>0.8230533099999999</v>
      </c>
      <c r="O156" t="str">
        <v>full_year</v>
      </c>
      <c r="P156">
        <f>COUNTIFS('Reportes chatbot'!$D$5:$D$5004,$B156,'Reportes chatbot'!$N$5:$N$5004,"approved",'Reportes chatbot'!$O$5:$O$5004,"si",'Reportes chatbot'!$C$5:$C$5004,"&gt;="&amp;DATE($A156,1,1),'Reportes chatbot'!$C$5:$C$5004,"&lt;"&amp;DATE($A156+1,1,1))</f>
        <v>0</v>
      </c>
    </row>
    <row r="157">
      <c r="A157">
        <v>2025</v>
      </c>
      <c r="B157" t="str">
        <v>13</v>
      </c>
      <c r="C157" t="str">
        <v>Teusaquillo</v>
      </c>
      <c r="D157">
        <v>7452</v>
      </c>
      <c r="E157">
        <v>6795</v>
      </c>
      <c r="F157">
        <v>155083</v>
      </c>
      <c r="G157">
        <v>4805.168845</v>
      </c>
      <c r="H157">
        <v>4381.524732</v>
      </c>
      <c r="I157">
        <v>0.9118357487922706</v>
      </c>
      <c r="J157">
        <v>5</v>
      </c>
      <c r="K157">
        <v>5</v>
      </c>
      <c r="L157">
        <v>-1.232604</v>
      </c>
      <c r="M157">
        <v>17.034103</v>
      </c>
      <c r="N157">
        <v>0.8230533099999999</v>
      </c>
      <c r="O157" t="str">
        <v>full_year</v>
      </c>
      <c r="P157">
        <f>COUNTIFS('Reportes chatbot'!$D$5:$D$5004,$B157,'Reportes chatbot'!$N$5:$N$5004,"approved",'Reportes chatbot'!$O$5:$O$5004,"si",'Reportes chatbot'!$C$5:$C$5004,"&gt;="&amp;DATE($A157,1,1),'Reportes chatbot'!$C$5:$C$5004,"&lt;"&amp;DATE($A157+1,1,1))</f>
        <v>0</v>
      </c>
    </row>
    <row r="158">
      <c r="A158">
        <v>2025</v>
      </c>
      <c r="B158" t="str">
        <v>14</v>
      </c>
      <c r="C158" t="str">
        <v>Los Mártires</v>
      </c>
      <c r="D158">
        <v>4570</v>
      </c>
      <c r="E158">
        <v>5790</v>
      </c>
      <c r="F158">
        <v>75471</v>
      </c>
      <c r="G158">
        <v>6055.306012</v>
      </c>
      <c r="H158">
        <v>7671.820964</v>
      </c>
      <c r="I158">
        <v>1.2669584245076586</v>
      </c>
      <c r="J158">
        <v>11</v>
      </c>
      <c r="K158">
        <v>2</v>
      </c>
      <c r="L158">
        <v>-60.257414</v>
      </c>
      <c r="M158">
        <v>13.373801</v>
      </c>
      <c r="N158">
        <v>0.8230533099999999</v>
      </c>
      <c r="O158" t="str">
        <v>full_year</v>
      </c>
      <c r="P158">
        <f>COUNTIFS('Reportes chatbot'!$D$5:$D$5004,$B158,'Reportes chatbot'!$N$5:$N$5004,"approved",'Reportes chatbot'!$O$5:$O$5004,"si",'Reportes chatbot'!$C$5:$C$5004,"&gt;="&amp;DATE($A158,1,1),'Reportes chatbot'!$C$5:$C$5004,"&lt;"&amp;DATE($A158+1,1,1))</f>
        <v>0</v>
      </c>
    </row>
    <row r="159">
      <c r="A159">
        <v>2025</v>
      </c>
      <c r="B159" t="str">
        <v>15</v>
      </c>
      <c r="C159" t="str">
        <v>Antonio Nariño</v>
      </c>
      <c r="D159">
        <v>1987</v>
      </c>
      <c r="E159">
        <v>3590</v>
      </c>
      <c r="F159">
        <v>77392</v>
      </c>
      <c r="G159">
        <v>2567.448832</v>
      </c>
      <c r="H159">
        <v>4638.722349</v>
      </c>
      <c r="I159">
        <v>1.8067438349270257</v>
      </c>
      <c r="J159">
        <v>18</v>
      </c>
      <c r="K159">
        <v>7</v>
      </c>
      <c r="L159">
        <v>-11.452763</v>
      </c>
      <c r="M159">
        <v>9.551419</v>
      </c>
      <c r="N159">
        <v>0.8230533099999999</v>
      </c>
      <c r="O159" t="str">
        <v>full_year</v>
      </c>
      <c r="P159">
        <f>COUNTIFS('Reportes chatbot'!$D$5:$D$5004,$B159,'Reportes chatbot'!$N$5:$N$5004,"approved",'Reportes chatbot'!$O$5:$O$5004,"si",'Reportes chatbot'!$C$5:$C$5004,"&gt;="&amp;DATE($A159,1,1),'Reportes chatbot'!$C$5:$C$5004,"&lt;"&amp;DATE($A159+1,1,1))</f>
        <v>0</v>
      </c>
    </row>
    <row r="160">
      <c r="A160">
        <v>2025</v>
      </c>
      <c r="B160" t="str">
        <v>16</v>
      </c>
      <c r="C160" t="str">
        <v>Puente Aranda</v>
      </c>
      <c r="D160">
        <v>5701</v>
      </c>
      <c r="E160">
        <v>7601</v>
      </c>
      <c r="F160">
        <v>249519</v>
      </c>
      <c r="G160">
        <v>2284.795947</v>
      </c>
      <c r="H160">
        <v>3046.261006</v>
      </c>
      <c r="I160">
        <v>1.3332748640589371</v>
      </c>
      <c r="J160">
        <v>8</v>
      </c>
      <c r="K160">
        <v>8</v>
      </c>
      <c r="L160">
        <v>1.549697</v>
      </c>
      <c r="M160">
        <v>-7.146347</v>
      </c>
      <c r="N160">
        <v>0.8230533099999999</v>
      </c>
      <c r="O160" t="str">
        <v>full_year</v>
      </c>
      <c r="P160">
        <f>COUNTIFS('Reportes chatbot'!$D$5:$D$5004,$B160,'Reportes chatbot'!$N$5:$N$5004,"approved",'Reportes chatbot'!$O$5:$O$5004,"si",'Reportes chatbot'!$C$5:$C$5004,"&gt;="&amp;DATE($A160,1,1),'Reportes chatbot'!$C$5:$C$5004,"&lt;"&amp;DATE($A160+1,1,1))</f>
        <v>0</v>
      </c>
    </row>
    <row r="161">
      <c r="A161">
        <v>2025</v>
      </c>
      <c r="B161" t="str">
        <v>17</v>
      </c>
      <c r="C161" t="str">
        <v>La Candelaria</v>
      </c>
      <c r="D161">
        <v>1378</v>
      </c>
      <c r="E161">
        <v>733</v>
      </c>
      <c r="F161">
        <v>16574</v>
      </c>
      <c r="G161">
        <v>8314.227103</v>
      </c>
      <c r="H161">
        <v>4422.589598</v>
      </c>
      <c r="I161">
        <v>0.5319303338171263</v>
      </c>
      <c r="J161">
        <v>19</v>
      </c>
      <c r="K161">
        <v>1</v>
      </c>
      <c r="L161">
        <v>-23.359288</v>
      </c>
      <c r="M161">
        <v>-0.811908</v>
      </c>
      <c r="N161">
        <v>0.8230533099999999</v>
      </c>
      <c r="O161" t="str">
        <v>full_year</v>
      </c>
      <c r="P161">
        <f>COUNTIFS('Reportes chatbot'!$D$5:$D$5004,$B161,'Reportes chatbot'!$N$5:$N$5004,"approved",'Reportes chatbot'!$O$5:$O$5004,"si",'Reportes chatbot'!$C$5:$C$5004,"&gt;="&amp;DATE($A161,1,1),'Reportes chatbot'!$C$5:$C$5004,"&lt;"&amp;DATE($A161+1,1,1))</f>
        <v>0</v>
      </c>
    </row>
    <row r="162">
      <c r="A162">
        <v>2025</v>
      </c>
      <c r="B162" t="str">
        <v>18</v>
      </c>
      <c r="C162" t="str">
        <v>Rafael Uribe Uribe</v>
      </c>
      <c r="D162">
        <v>3300</v>
      </c>
      <c r="E162">
        <v>6380</v>
      </c>
      <c r="F162">
        <v>375043</v>
      </c>
      <c r="G162">
        <v>879.899105</v>
      </c>
      <c r="H162">
        <v>1701.138269</v>
      </c>
      <c r="I162">
        <v>1.9333333333333333</v>
      </c>
      <c r="J162">
        <v>14</v>
      </c>
      <c r="K162">
        <v>13</v>
      </c>
      <c r="L162">
        <v>-1.610018</v>
      </c>
      <c r="M162">
        <v>-3.274712</v>
      </c>
      <c r="N162">
        <v>0.8230533099999999</v>
      </c>
      <c r="O162" t="str">
        <v>full_year</v>
      </c>
      <c r="P162">
        <f>COUNTIFS('Reportes chatbot'!$D$5:$D$5004,$B162,'Reportes chatbot'!$N$5:$N$5004,"approved",'Reportes chatbot'!$O$5:$O$5004,"si",'Reportes chatbot'!$C$5:$C$5004,"&gt;="&amp;DATE($A162,1,1),'Reportes chatbot'!$C$5:$C$5004,"&lt;"&amp;DATE($A162+1,1,1))</f>
        <v>0</v>
      </c>
    </row>
    <row r="163">
      <c r="A163">
        <v>2025</v>
      </c>
      <c r="B163" t="str">
        <v>19</v>
      </c>
      <c r="C163" t="str">
        <v>Ciudad Bolívar</v>
      </c>
      <c r="D163">
        <v>4243</v>
      </c>
      <c r="E163">
        <v>7187</v>
      </c>
      <c r="F163">
        <v>685039</v>
      </c>
      <c r="G163">
        <v>619.380794</v>
      </c>
      <c r="H163">
        <v>1049.137348</v>
      </c>
      <c r="I163">
        <v>1.6938486919632336</v>
      </c>
      <c r="J163">
        <v>12</v>
      </c>
      <c r="K163">
        <v>18</v>
      </c>
      <c r="L163">
        <v>-11.029566</v>
      </c>
      <c r="M163">
        <v>-1.964261</v>
      </c>
      <c r="N163">
        <v>0.8230533099999999</v>
      </c>
      <c r="O163" t="str">
        <v>full_year</v>
      </c>
      <c r="P163">
        <f>COUNTIFS('Reportes chatbot'!$D$5:$D$5004,$B163,'Reportes chatbot'!$N$5:$N$5004,"approved",'Reportes chatbot'!$O$5:$O$5004,"si",'Reportes chatbot'!$C$5:$C$5004,"&gt;="&amp;DATE($A163,1,1),'Reportes chatbot'!$C$5:$C$5004,"&lt;"&amp;DATE($A163+1,1,1))</f>
        <v>0</v>
      </c>
    </row>
    <row r="164">
      <c r="A164">
        <v>2025</v>
      </c>
      <c r="B164" t="str">
        <v>20</v>
      </c>
      <c r="C164" t="str">
        <v>Sumapaz</v>
      </c>
      <c r="D164">
        <v>0</v>
      </c>
      <c r="E164">
        <v>8</v>
      </c>
      <c r="F164">
        <v>3338</v>
      </c>
      <c r="G164">
        <v>0</v>
      </c>
      <c r="H164">
        <v>239.66447</v>
      </c>
      <c r="J164">
        <v>20</v>
      </c>
      <c r="K164">
        <v>20</v>
      </c>
      <c r="M164">
        <v>166.666667</v>
      </c>
      <c r="N164">
        <v>0.8230533099999999</v>
      </c>
      <c r="O164" t="str">
        <v>full_year</v>
      </c>
      <c r="P164">
        <f>COUNTIFS('Reportes chatbot'!$D$5:$D$5004,$B164,'Reportes chatbot'!$N$5:$N$5004,"approved",'Reportes chatbot'!$O$5:$O$5004,"si",'Reportes chatbot'!$C$5:$C$5004,"&gt;="&amp;DATE($A164,1,1),'Reportes chatbot'!$C$5:$C$5004,"&lt;"&amp;DATE($A164+1,1,1))</f>
        <v>0</v>
      </c>
    </row>
  </sheetData>
  <mergeCells count="2">
    <mergeCell ref="A1:P1"/>
    <mergeCell ref="A2:P2"/>
  </mergeCells>
  <pageMargins left="0.7" right="0.7" top="0.75" bottom="0.75" header="0.3" footer="0.3"/>
  <ignoredErrors>
    <ignoredError numberStoredAsText="1" sqref="A1:P164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4"/>
  <sheetViews>
    <sheetView workbookViewId="0" rightToLeft="0"/>
  </sheetViews>
  <sheetData>
    <row r="1">
      <c r="A1" t="str">
        <v>Feed comunitario actual · agregado y publicable</v>
      </c>
    </row>
    <row r="2">
      <c r="A2" t="str">
        <v>No contiene dirección, descripción, teléfono ni coordenadas privadas. Se actualiza al aprobar reportes.</v>
      </c>
    </row>
    <row r="4">
      <c r="A4" t="str">
        <v>locality_code</v>
      </c>
      <c r="B4" t="str">
        <v>locality_name</v>
      </c>
      <c r="C4" t="str">
        <v>community_approved_all</v>
      </c>
      <c r="D4" t="str">
        <v>community_approved_2026</v>
      </c>
      <c r="E4" t="str">
        <v>community_hurto_consumado</v>
      </c>
      <c r="F4" t="str">
        <v>community_intento_hurto</v>
      </c>
      <c r="G4" t="str">
        <v>community_pending</v>
      </c>
      <c r="H4" t="str">
        <v>community_needs_review</v>
      </c>
    </row>
    <row r="5">
      <c r="A5" t="str">
        <v>01</v>
      </c>
      <c r="B5" t="str">
        <v>Usaquén</v>
      </c>
      <c r="C5">
        <f>COUNTIFS('Reportes chatbot'!$D$5:$D$5004,$A5,'Reportes chatbot'!$N$5:$N$5004,"approved",'Reportes chatbot'!$O$5:$O$5004,"si")</f>
        <v>0</v>
      </c>
      <c r="D5">
        <f>COUNTIFS('Reportes chatbot'!$D$5:$D$5004,$A5,'Reportes chatbot'!$N$5:$N$5004,"approved",'Reportes chatbot'!$O$5:$O$5004,"si",'Reportes chatbot'!$C$5:$C$5004,"&gt;="&amp;DATE(2026,1,1),'Reportes chatbot'!$C$5:$C$5004,"&lt;"&amp;DATE(2027,1,1))</f>
        <v>0</v>
      </c>
      <c r="E5">
        <f>COUNTIFS('Reportes chatbot'!$D$5:$D$5004,$A5,'Reportes chatbot'!$N$5:$N$5004,"approved",'Reportes chatbot'!$O$5:$O$5004,"si",'Reportes chatbot'!$E$5:$E$5004,"hurto_consumado")</f>
        <v>0</v>
      </c>
      <c r="F5">
        <f>COUNTIFS('Reportes chatbot'!$D$5:$D$5004,$A5,'Reportes chatbot'!$N$5:$N$5004,"approved",'Reportes chatbot'!$O$5:$O$5004,"si",'Reportes chatbot'!$E$5:$E$5004,"intento_hurto")</f>
        <v>0</v>
      </c>
      <c r="G5">
        <f>COUNTIFS('Reportes chatbot'!$D$5:$D$5004,$A5,'Reportes chatbot'!$N$5:$N$5004,"pending")</f>
        <v>0</v>
      </c>
      <c r="H5">
        <f>COUNTIFS('Reportes chatbot'!$D$5:$D$5004,$A5,'Reportes chatbot'!$N$5:$N$5004,"needs_review")</f>
        <v>0</v>
      </c>
    </row>
    <row r="6">
      <c r="A6" t="str">
        <v>02</v>
      </c>
      <c r="B6" t="str">
        <v>Chapinero</v>
      </c>
      <c r="C6">
        <f>COUNTIFS('Reportes chatbot'!$D$5:$D$5004,$A6,'Reportes chatbot'!$N$5:$N$5004,"approved",'Reportes chatbot'!$O$5:$O$5004,"si")</f>
        <v>0</v>
      </c>
      <c r="D6">
        <f>COUNTIFS('Reportes chatbot'!$D$5:$D$5004,$A6,'Reportes chatbot'!$N$5:$N$5004,"approved",'Reportes chatbot'!$O$5:$O$5004,"si",'Reportes chatbot'!$C$5:$C$5004,"&gt;="&amp;DATE(2026,1,1),'Reportes chatbot'!$C$5:$C$5004,"&lt;"&amp;DATE(2027,1,1))</f>
        <v>0</v>
      </c>
      <c r="E6">
        <f>COUNTIFS('Reportes chatbot'!$D$5:$D$5004,$A6,'Reportes chatbot'!$N$5:$N$5004,"approved",'Reportes chatbot'!$O$5:$O$5004,"si",'Reportes chatbot'!$E$5:$E$5004,"hurto_consumado")</f>
        <v>0</v>
      </c>
      <c r="F6">
        <f>COUNTIFS('Reportes chatbot'!$D$5:$D$5004,$A6,'Reportes chatbot'!$N$5:$N$5004,"approved",'Reportes chatbot'!$O$5:$O$5004,"si",'Reportes chatbot'!$E$5:$E$5004,"intento_hurto")</f>
        <v>0</v>
      </c>
      <c r="G6">
        <f>COUNTIFS('Reportes chatbot'!$D$5:$D$5004,$A6,'Reportes chatbot'!$N$5:$N$5004,"pending")</f>
        <v>0</v>
      </c>
      <c r="H6">
        <f>COUNTIFS('Reportes chatbot'!$D$5:$D$5004,$A6,'Reportes chatbot'!$N$5:$N$5004,"needs_review")</f>
        <v>0</v>
      </c>
    </row>
    <row r="7">
      <c r="A7" t="str">
        <v>03</v>
      </c>
      <c r="B7" t="str">
        <v>Santa Fe</v>
      </c>
      <c r="C7">
        <f>COUNTIFS('Reportes chatbot'!$D$5:$D$5004,$A7,'Reportes chatbot'!$N$5:$N$5004,"approved",'Reportes chatbot'!$O$5:$O$5004,"si")</f>
        <v>0</v>
      </c>
      <c r="D7">
        <f>COUNTIFS('Reportes chatbot'!$D$5:$D$5004,$A7,'Reportes chatbot'!$N$5:$N$5004,"approved",'Reportes chatbot'!$O$5:$O$5004,"si",'Reportes chatbot'!$C$5:$C$5004,"&gt;="&amp;DATE(2026,1,1),'Reportes chatbot'!$C$5:$C$5004,"&lt;"&amp;DATE(2027,1,1))</f>
        <v>0</v>
      </c>
      <c r="E7">
        <f>COUNTIFS('Reportes chatbot'!$D$5:$D$5004,$A7,'Reportes chatbot'!$N$5:$N$5004,"approved",'Reportes chatbot'!$O$5:$O$5004,"si",'Reportes chatbot'!$E$5:$E$5004,"hurto_consumado")</f>
        <v>0</v>
      </c>
      <c r="F7">
        <f>COUNTIFS('Reportes chatbot'!$D$5:$D$5004,$A7,'Reportes chatbot'!$N$5:$N$5004,"approved",'Reportes chatbot'!$O$5:$O$5004,"si",'Reportes chatbot'!$E$5:$E$5004,"intento_hurto")</f>
        <v>0</v>
      </c>
      <c r="G7">
        <f>COUNTIFS('Reportes chatbot'!$D$5:$D$5004,$A7,'Reportes chatbot'!$N$5:$N$5004,"pending")</f>
        <v>0</v>
      </c>
      <c r="H7">
        <f>COUNTIFS('Reportes chatbot'!$D$5:$D$5004,$A7,'Reportes chatbot'!$N$5:$N$5004,"needs_review")</f>
        <v>0</v>
      </c>
    </row>
    <row r="8">
      <c r="A8" t="str">
        <v>04</v>
      </c>
      <c r="B8" t="str">
        <v>San Cristóbal</v>
      </c>
      <c r="C8">
        <f>COUNTIFS('Reportes chatbot'!$D$5:$D$5004,$A8,'Reportes chatbot'!$N$5:$N$5004,"approved",'Reportes chatbot'!$O$5:$O$5004,"si")</f>
        <v>0</v>
      </c>
      <c r="D8">
        <f>COUNTIFS('Reportes chatbot'!$D$5:$D$5004,$A8,'Reportes chatbot'!$N$5:$N$5004,"approved",'Reportes chatbot'!$O$5:$O$5004,"si",'Reportes chatbot'!$C$5:$C$5004,"&gt;="&amp;DATE(2026,1,1),'Reportes chatbot'!$C$5:$C$5004,"&lt;"&amp;DATE(2027,1,1))</f>
        <v>0</v>
      </c>
      <c r="E8">
        <f>COUNTIFS('Reportes chatbot'!$D$5:$D$5004,$A8,'Reportes chatbot'!$N$5:$N$5004,"approved",'Reportes chatbot'!$O$5:$O$5004,"si",'Reportes chatbot'!$E$5:$E$5004,"hurto_consumado")</f>
        <v>0</v>
      </c>
      <c r="F8">
        <f>COUNTIFS('Reportes chatbot'!$D$5:$D$5004,$A8,'Reportes chatbot'!$N$5:$N$5004,"approved",'Reportes chatbot'!$O$5:$O$5004,"si",'Reportes chatbot'!$E$5:$E$5004,"intento_hurto")</f>
        <v>0</v>
      </c>
      <c r="G8">
        <f>COUNTIFS('Reportes chatbot'!$D$5:$D$5004,$A8,'Reportes chatbot'!$N$5:$N$5004,"pending")</f>
        <v>0</v>
      </c>
      <c r="H8">
        <f>COUNTIFS('Reportes chatbot'!$D$5:$D$5004,$A8,'Reportes chatbot'!$N$5:$N$5004,"needs_review")</f>
        <v>0</v>
      </c>
    </row>
    <row r="9">
      <c r="A9" t="str">
        <v>05</v>
      </c>
      <c r="B9" t="str">
        <v>Usme</v>
      </c>
      <c r="C9">
        <f>COUNTIFS('Reportes chatbot'!$D$5:$D$5004,$A9,'Reportes chatbot'!$N$5:$N$5004,"approved",'Reportes chatbot'!$O$5:$O$5004,"si")</f>
        <v>0</v>
      </c>
      <c r="D9">
        <f>COUNTIFS('Reportes chatbot'!$D$5:$D$5004,$A9,'Reportes chatbot'!$N$5:$N$5004,"approved",'Reportes chatbot'!$O$5:$O$5004,"si",'Reportes chatbot'!$C$5:$C$5004,"&gt;="&amp;DATE(2026,1,1),'Reportes chatbot'!$C$5:$C$5004,"&lt;"&amp;DATE(2027,1,1))</f>
        <v>0</v>
      </c>
      <c r="E9">
        <f>COUNTIFS('Reportes chatbot'!$D$5:$D$5004,$A9,'Reportes chatbot'!$N$5:$N$5004,"approved",'Reportes chatbot'!$O$5:$O$5004,"si",'Reportes chatbot'!$E$5:$E$5004,"hurto_consumado")</f>
        <v>0</v>
      </c>
      <c r="F9">
        <f>COUNTIFS('Reportes chatbot'!$D$5:$D$5004,$A9,'Reportes chatbot'!$N$5:$N$5004,"approved",'Reportes chatbot'!$O$5:$O$5004,"si",'Reportes chatbot'!$E$5:$E$5004,"intento_hurto")</f>
        <v>0</v>
      </c>
      <c r="G9">
        <f>COUNTIFS('Reportes chatbot'!$D$5:$D$5004,$A9,'Reportes chatbot'!$N$5:$N$5004,"pending")</f>
        <v>0</v>
      </c>
      <c r="H9">
        <f>COUNTIFS('Reportes chatbot'!$D$5:$D$5004,$A9,'Reportes chatbot'!$N$5:$N$5004,"needs_review")</f>
        <v>0</v>
      </c>
    </row>
    <row r="10">
      <c r="A10" t="str">
        <v>06</v>
      </c>
      <c r="B10" t="str">
        <v>Tunjuelito</v>
      </c>
      <c r="C10">
        <f>COUNTIFS('Reportes chatbot'!$D$5:$D$5004,$A10,'Reportes chatbot'!$N$5:$N$5004,"approved",'Reportes chatbot'!$O$5:$O$5004,"si")</f>
        <v>0</v>
      </c>
      <c r="D10">
        <f>COUNTIFS('Reportes chatbot'!$D$5:$D$5004,$A10,'Reportes chatbot'!$N$5:$N$5004,"approved",'Reportes chatbot'!$O$5:$O$5004,"si",'Reportes chatbot'!$C$5:$C$5004,"&gt;="&amp;DATE(2026,1,1),'Reportes chatbot'!$C$5:$C$5004,"&lt;"&amp;DATE(2027,1,1))</f>
        <v>0</v>
      </c>
      <c r="E10">
        <f>COUNTIFS('Reportes chatbot'!$D$5:$D$5004,$A10,'Reportes chatbot'!$N$5:$N$5004,"approved",'Reportes chatbot'!$O$5:$O$5004,"si",'Reportes chatbot'!$E$5:$E$5004,"hurto_consumado")</f>
        <v>0</v>
      </c>
      <c r="F10">
        <f>COUNTIFS('Reportes chatbot'!$D$5:$D$5004,$A10,'Reportes chatbot'!$N$5:$N$5004,"approved",'Reportes chatbot'!$O$5:$O$5004,"si",'Reportes chatbot'!$E$5:$E$5004,"intento_hurto")</f>
        <v>0</v>
      </c>
      <c r="G10">
        <f>COUNTIFS('Reportes chatbot'!$D$5:$D$5004,$A10,'Reportes chatbot'!$N$5:$N$5004,"pending")</f>
        <v>0</v>
      </c>
      <c r="H10">
        <f>COUNTIFS('Reportes chatbot'!$D$5:$D$5004,$A10,'Reportes chatbot'!$N$5:$N$5004,"needs_review")</f>
        <v>0</v>
      </c>
    </row>
    <row r="11">
      <c r="A11" t="str">
        <v>07</v>
      </c>
      <c r="B11" t="str">
        <v>Bosa</v>
      </c>
      <c r="C11">
        <f>COUNTIFS('Reportes chatbot'!$D$5:$D$5004,$A11,'Reportes chatbot'!$N$5:$N$5004,"approved",'Reportes chatbot'!$O$5:$O$5004,"si")</f>
        <v>0</v>
      </c>
      <c r="D11">
        <f>COUNTIFS('Reportes chatbot'!$D$5:$D$5004,$A11,'Reportes chatbot'!$N$5:$N$5004,"approved",'Reportes chatbot'!$O$5:$O$5004,"si",'Reportes chatbot'!$C$5:$C$5004,"&gt;="&amp;DATE(2026,1,1),'Reportes chatbot'!$C$5:$C$5004,"&lt;"&amp;DATE(2027,1,1))</f>
        <v>0</v>
      </c>
      <c r="E11">
        <f>COUNTIFS('Reportes chatbot'!$D$5:$D$5004,$A11,'Reportes chatbot'!$N$5:$N$5004,"approved",'Reportes chatbot'!$O$5:$O$5004,"si",'Reportes chatbot'!$E$5:$E$5004,"hurto_consumado")</f>
        <v>0</v>
      </c>
      <c r="F11">
        <f>COUNTIFS('Reportes chatbot'!$D$5:$D$5004,$A11,'Reportes chatbot'!$N$5:$N$5004,"approved",'Reportes chatbot'!$O$5:$O$5004,"si",'Reportes chatbot'!$E$5:$E$5004,"intento_hurto")</f>
        <v>0</v>
      </c>
      <c r="G11">
        <f>COUNTIFS('Reportes chatbot'!$D$5:$D$5004,$A11,'Reportes chatbot'!$N$5:$N$5004,"pending")</f>
        <v>0</v>
      </c>
      <c r="H11">
        <f>COUNTIFS('Reportes chatbot'!$D$5:$D$5004,$A11,'Reportes chatbot'!$N$5:$N$5004,"needs_review")</f>
        <v>0</v>
      </c>
    </row>
    <row r="12">
      <c r="A12" t="str">
        <v>08</v>
      </c>
      <c r="B12" t="str">
        <v>Kennedy</v>
      </c>
      <c r="C12">
        <f>COUNTIFS('Reportes chatbot'!$D$5:$D$5004,$A12,'Reportes chatbot'!$N$5:$N$5004,"approved",'Reportes chatbot'!$O$5:$O$5004,"si")</f>
        <v>0</v>
      </c>
      <c r="D12">
        <f>COUNTIFS('Reportes chatbot'!$D$5:$D$5004,$A12,'Reportes chatbot'!$N$5:$N$5004,"approved",'Reportes chatbot'!$O$5:$O$5004,"si",'Reportes chatbot'!$C$5:$C$5004,"&gt;="&amp;DATE(2026,1,1),'Reportes chatbot'!$C$5:$C$5004,"&lt;"&amp;DATE(2027,1,1))</f>
        <v>0</v>
      </c>
      <c r="E12">
        <f>COUNTIFS('Reportes chatbot'!$D$5:$D$5004,$A12,'Reportes chatbot'!$N$5:$N$5004,"approved",'Reportes chatbot'!$O$5:$O$5004,"si",'Reportes chatbot'!$E$5:$E$5004,"hurto_consumado")</f>
        <v>0</v>
      </c>
      <c r="F12">
        <f>COUNTIFS('Reportes chatbot'!$D$5:$D$5004,$A12,'Reportes chatbot'!$N$5:$N$5004,"approved",'Reportes chatbot'!$O$5:$O$5004,"si",'Reportes chatbot'!$E$5:$E$5004,"intento_hurto")</f>
        <v>0</v>
      </c>
      <c r="G12">
        <f>COUNTIFS('Reportes chatbot'!$D$5:$D$5004,$A12,'Reportes chatbot'!$N$5:$N$5004,"pending")</f>
        <v>0</v>
      </c>
      <c r="H12">
        <f>COUNTIFS('Reportes chatbot'!$D$5:$D$5004,$A12,'Reportes chatbot'!$N$5:$N$5004,"needs_review")</f>
        <v>0</v>
      </c>
    </row>
    <row r="13">
      <c r="A13" t="str">
        <v>09</v>
      </c>
      <c r="B13" t="str">
        <v>Fontibón</v>
      </c>
      <c r="C13">
        <f>COUNTIFS('Reportes chatbot'!$D$5:$D$5004,$A13,'Reportes chatbot'!$N$5:$N$5004,"approved",'Reportes chatbot'!$O$5:$O$5004,"si")</f>
        <v>0</v>
      </c>
      <c r="D13">
        <f>COUNTIFS('Reportes chatbot'!$D$5:$D$5004,$A13,'Reportes chatbot'!$N$5:$N$5004,"approved",'Reportes chatbot'!$O$5:$O$5004,"si",'Reportes chatbot'!$C$5:$C$5004,"&gt;="&amp;DATE(2026,1,1),'Reportes chatbot'!$C$5:$C$5004,"&lt;"&amp;DATE(2027,1,1))</f>
        <v>0</v>
      </c>
      <c r="E13">
        <f>COUNTIFS('Reportes chatbot'!$D$5:$D$5004,$A13,'Reportes chatbot'!$N$5:$N$5004,"approved",'Reportes chatbot'!$O$5:$O$5004,"si",'Reportes chatbot'!$E$5:$E$5004,"hurto_consumado")</f>
        <v>0</v>
      </c>
      <c r="F13">
        <f>COUNTIFS('Reportes chatbot'!$D$5:$D$5004,$A13,'Reportes chatbot'!$N$5:$N$5004,"approved",'Reportes chatbot'!$O$5:$O$5004,"si",'Reportes chatbot'!$E$5:$E$5004,"intento_hurto")</f>
        <v>0</v>
      </c>
      <c r="G13">
        <f>COUNTIFS('Reportes chatbot'!$D$5:$D$5004,$A13,'Reportes chatbot'!$N$5:$N$5004,"pending")</f>
        <v>0</v>
      </c>
      <c r="H13">
        <f>COUNTIFS('Reportes chatbot'!$D$5:$D$5004,$A13,'Reportes chatbot'!$N$5:$N$5004,"needs_review")</f>
        <v>0</v>
      </c>
    </row>
    <row r="14">
      <c r="A14" t="str">
        <v>10</v>
      </c>
      <c r="B14" t="str">
        <v>Engativá</v>
      </c>
      <c r="C14">
        <f>COUNTIFS('Reportes chatbot'!$D$5:$D$5004,$A14,'Reportes chatbot'!$N$5:$N$5004,"approved",'Reportes chatbot'!$O$5:$O$5004,"si")</f>
        <v>0</v>
      </c>
      <c r="D14">
        <f>COUNTIFS('Reportes chatbot'!$D$5:$D$5004,$A14,'Reportes chatbot'!$N$5:$N$5004,"approved",'Reportes chatbot'!$O$5:$O$5004,"si",'Reportes chatbot'!$C$5:$C$5004,"&gt;="&amp;DATE(2026,1,1),'Reportes chatbot'!$C$5:$C$5004,"&lt;"&amp;DATE(2027,1,1))</f>
        <v>0</v>
      </c>
      <c r="E14">
        <f>COUNTIFS('Reportes chatbot'!$D$5:$D$5004,$A14,'Reportes chatbot'!$N$5:$N$5004,"approved",'Reportes chatbot'!$O$5:$O$5004,"si",'Reportes chatbot'!$E$5:$E$5004,"hurto_consumado")</f>
        <v>0</v>
      </c>
      <c r="F14">
        <f>COUNTIFS('Reportes chatbot'!$D$5:$D$5004,$A14,'Reportes chatbot'!$N$5:$N$5004,"approved",'Reportes chatbot'!$O$5:$O$5004,"si",'Reportes chatbot'!$E$5:$E$5004,"intento_hurto")</f>
        <v>0</v>
      </c>
      <c r="G14">
        <f>COUNTIFS('Reportes chatbot'!$D$5:$D$5004,$A14,'Reportes chatbot'!$N$5:$N$5004,"pending")</f>
        <v>0</v>
      </c>
      <c r="H14">
        <f>COUNTIFS('Reportes chatbot'!$D$5:$D$5004,$A14,'Reportes chatbot'!$N$5:$N$5004,"needs_review")</f>
        <v>0</v>
      </c>
    </row>
    <row r="15">
      <c r="A15" t="str">
        <v>11</v>
      </c>
      <c r="B15" t="str">
        <v>Suba</v>
      </c>
      <c r="C15">
        <f>COUNTIFS('Reportes chatbot'!$D$5:$D$5004,$A15,'Reportes chatbot'!$N$5:$N$5004,"approved",'Reportes chatbot'!$O$5:$O$5004,"si")</f>
        <v>0</v>
      </c>
      <c r="D15">
        <f>COUNTIFS('Reportes chatbot'!$D$5:$D$5004,$A15,'Reportes chatbot'!$N$5:$N$5004,"approved",'Reportes chatbot'!$O$5:$O$5004,"si",'Reportes chatbot'!$C$5:$C$5004,"&gt;="&amp;DATE(2026,1,1),'Reportes chatbot'!$C$5:$C$5004,"&lt;"&amp;DATE(2027,1,1))</f>
        <v>0</v>
      </c>
      <c r="E15">
        <f>COUNTIFS('Reportes chatbot'!$D$5:$D$5004,$A15,'Reportes chatbot'!$N$5:$N$5004,"approved",'Reportes chatbot'!$O$5:$O$5004,"si",'Reportes chatbot'!$E$5:$E$5004,"hurto_consumado")</f>
        <v>0</v>
      </c>
      <c r="F15">
        <f>COUNTIFS('Reportes chatbot'!$D$5:$D$5004,$A15,'Reportes chatbot'!$N$5:$N$5004,"approved",'Reportes chatbot'!$O$5:$O$5004,"si",'Reportes chatbot'!$E$5:$E$5004,"intento_hurto")</f>
        <v>0</v>
      </c>
      <c r="G15">
        <f>COUNTIFS('Reportes chatbot'!$D$5:$D$5004,$A15,'Reportes chatbot'!$N$5:$N$5004,"pending")</f>
        <v>0</v>
      </c>
      <c r="H15">
        <f>COUNTIFS('Reportes chatbot'!$D$5:$D$5004,$A15,'Reportes chatbot'!$N$5:$N$5004,"needs_review")</f>
        <v>0</v>
      </c>
    </row>
    <row r="16">
      <c r="A16" t="str">
        <v>12</v>
      </c>
      <c r="B16" t="str">
        <v>Barrios Unidos</v>
      </c>
      <c r="C16">
        <f>COUNTIFS('Reportes chatbot'!$D$5:$D$5004,$A16,'Reportes chatbot'!$N$5:$N$5004,"approved",'Reportes chatbot'!$O$5:$O$5004,"si")</f>
        <v>0</v>
      </c>
      <c r="D16">
        <f>COUNTIFS('Reportes chatbot'!$D$5:$D$5004,$A16,'Reportes chatbot'!$N$5:$N$5004,"approved",'Reportes chatbot'!$O$5:$O$5004,"si",'Reportes chatbot'!$C$5:$C$5004,"&gt;="&amp;DATE(2026,1,1),'Reportes chatbot'!$C$5:$C$5004,"&lt;"&amp;DATE(2027,1,1))</f>
        <v>0</v>
      </c>
      <c r="E16">
        <f>COUNTIFS('Reportes chatbot'!$D$5:$D$5004,$A16,'Reportes chatbot'!$N$5:$N$5004,"approved",'Reportes chatbot'!$O$5:$O$5004,"si",'Reportes chatbot'!$E$5:$E$5004,"hurto_consumado")</f>
        <v>0</v>
      </c>
      <c r="F16">
        <f>COUNTIFS('Reportes chatbot'!$D$5:$D$5004,$A16,'Reportes chatbot'!$N$5:$N$5004,"approved",'Reportes chatbot'!$O$5:$O$5004,"si",'Reportes chatbot'!$E$5:$E$5004,"intento_hurto")</f>
        <v>0</v>
      </c>
      <c r="G16">
        <f>COUNTIFS('Reportes chatbot'!$D$5:$D$5004,$A16,'Reportes chatbot'!$N$5:$N$5004,"pending")</f>
        <v>0</v>
      </c>
      <c r="H16">
        <f>COUNTIFS('Reportes chatbot'!$D$5:$D$5004,$A16,'Reportes chatbot'!$N$5:$N$5004,"needs_review")</f>
        <v>0</v>
      </c>
    </row>
    <row r="17">
      <c r="A17" t="str">
        <v>13</v>
      </c>
      <c r="B17" t="str">
        <v>Teusaquillo</v>
      </c>
      <c r="C17">
        <f>COUNTIFS('Reportes chatbot'!$D$5:$D$5004,$A17,'Reportes chatbot'!$N$5:$N$5004,"approved",'Reportes chatbot'!$O$5:$O$5004,"si")</f>
        <v>0</v>
      </c>
      <c r="D17">
        <f>COUNTIFS('Reportes chatbot'!$D$5:$D$5004,$A17,'Reportes chatbot'!$N$5:$N$5004,"approved",'Reportes chatbot'!$O$5:$O$5004,"si",'Reportes chatbot'!$C$5:$C$5004,"&gt;="&amp;DATE(2026,1,1),'Reportes chatbot'!$C$5:$C$5004,"&lt;"&amp;DATE(2027,1,1))</f>
        <v>0</v>
      </c>
      <c r="E17">
        <f>COUNTIFS('Reportes chatbot'!$D$5:$D$5004,$A17,'Reportes chatbot'!$N$5:$N$5004,"approved",'Reportes chatbot'!$O$5:$O$5004,"si",'Reportes chatbot'!$E$5:$E$5004,"hurto_consumado")</f>
        <v>0</v>
      </c>
      <c r="F17">
        <f>COUNTIFS('Reportes chatbot'!$D$5:$D$5004,$A17,'Reportes chatbot'!$N$5:$N$5004,"approved",'Reportes chatbot'!$O$5:$O$5004,"si",'Reportes chatbot'!$E$5:$E$5004,"intento_hurto")</f>
        <v>0</v>
      </c>
      <c r="G17">
        <f>COUNTIFS('Reportes chatbot'!$D$5:$D$5004,$A17,'Reportes chatbot'!$N$5:$N$5004,"pending")</f>
        <v>0</v>
      </c>
      <c r="H17">
        <f>COUNTIFS('Reportes chatbot'!$D$5:$D$5004,$A17,'Reportes chatbot'!$N$5:$N$5004,"needs_review")</f>
        <v>0</v>
      </c>
    </row>
    <row r="18">
      <c r="A18" t="str">
        <v>14</v>
      </c>
      <c r="B18" t="str">
        <v>Los Mártires</v>
      </c>
      <c r="C18">
        <f>COUNTIFS('Reportes chatbot'!$D$5:$D$5004,$A18,'Reportes chatbot'!$N$5:$N$5004,"approved",'Reportes chatbot'!$O$5:$O$5004,"si")</f>
        <v>0</v>
      </c>
      <c r="D18">
        <f>COUNTIFS('Reportes chatbot'!$D$5:$D$5004,$A18,'Reportes chatbot'!$N$5:$N$5004,"approved",'Reportes chatbot'!$O$5:$O$5004,"si",'Reportes chatbot'!$C$5:$C$5004,"&gt;="&amp;DATE(2026,1,1),'Reportes chatbot'!$C$5:$C$5004,"&lt;"&amp;DATE(2027,1,1))</f>
        <v>0</v>
      </c>
      <c r="E18">
        <f>COUNTIFS('Reportes chatbot'!$D$5:$D$5004,$A18,'Reportes chatbot'!$N$5:$N$5004,"approved",'Reportes chatbot'!$O$5:$O$5004,"si",'Reportes chatbot'!$E$5:$E$5004,"hurto_consumado")</f>
        <v>0</v>
      </c>
      <c r="F18">
        <f>COUNTIFS('Reportes chatbot'!$D$5:$D$5004,$A18,'Reportes chatbot'!$N$5:$N$5004,"approved",'Reportes chatbot'!$O$5:$O$5004,"si",'Reportes chatbot'!$E$5:$E$5004,"intento_hurto")</f>
        <v>0</v>
      </c>
      <c r="G18">
        <f>COUNTIFS('Reportes chatbot'!$D$5:$D$5004,$A18,'Reportes chatbot'!$N$5:$N$5004,"pending")</f>
        <v>0</v>
      </c>
      <c r="H18">
        <f>COUNTIFS('Reportes chatbot'!$D$5:$D$5004,$A18,'Reportes chatbot'!$N$5:$N$5004,"needs_review")</f>
        <v>0</v>
      </c>
    </row>
    <row r="19">
      <c r="A19" t="str">
        <v>15</v>
      </c>
      <c r="B19" t="str">
        <v>Antonio Nariño</v>
      </c>
      <c r="C19">
        <f>COUNTIFS('Reportes chatbot'!$D$5:$D$5004,$A19,'Reportes chatbot'!$N$5:$N$5004,"approved",'Reportes chatbot'!$O$5:$O$5004,"si")</f>
        <v>0</v>
      </c>
      <c r="D19">
        <f>COUNTIFS('Reportes chatbot'!$D$5:$D$5004,$A19,'Reportes chatbot'!$N$5:$N$5004,"approved",'Reportes chatbot'!$O$5:$O$5004,"si",'Reportes chatbot'!$C$5:$C$5004,"&gt;="&amp;DATE(2026,1,1),'Reportes chatbot'!$C$5:$C$5004,"&lt;"&amp;DATE(2027,1,1))</f>
        <v>0</v>
      </c>
      <c r="E19">
        <f>COUNTIFS('Reportes chatbot'!$D$5:$D$5004,$A19,'Reportes chatbot'!$N$5:$N$5004,"approved",'Reportes chatbot'!$O$5:$O$5004,"si",'Reportes chatbot'!$E$5:$E$5004,"hurto_consumado")</f>
        <v>0</v>
      </c>
      <c r="F19">
        <f>COUNTIFS('Reportes chatbot'!$D$5:$D$5004,$A19,'Reportes chatbot'!$N$5:$N$5004,"approved",'Reportes chatbot'!$O$5:$O$5004,"si",'Reportes chatbot'!$E$5:$E$5004,"intento_hurto")</f>
        <v>0</v>
      </c>
      <c r="G19">
        <f>COUNTIFS('Reportes chatbot'!$D$5:$D$5004,$A19,'Reportes chatbot'!$N$5:$N$5004,"pending")</f>
        <v>0</v>
      </c>
      <c r="H19">
        <f>COUNTIFS('Reportes chatbot'!$D$5:$D$5004,$A19,'Reportes chatbot'!$N$5:$N$5004,"needs_review")</f>
        <v>0</v>
      </c>
    </row>
    <row r="20">
      <c r="A20" t="str">
        <v>16</v>
      </c>
      <c r="B20" t="str">
        <v>Puente Aranda</v>
      </c>
      <c r="C20">
        <f>COUNTIFS('Reportes chatbot'!$D$5:$D$5004,$A20,'Reportes chatbot'!$N$5:$N$5004,"approved",'Reportes chatbot'!$O$5:$O$5004,"si")</f>
        <v>0</v>
      </c>
      <c r="D20">
        <f>COUNTIFS('Reportes chatbot'!$D$5:$D$5004,$A20,'Reportes chatbot'!$N$5:$N$5004,"approved",'Reportes chatbot'!$O$5:$O$5004,"si",'Reportes chatbot'!$C$5:$C$5004,"&gt;="&amp;DATE(2026,1,1),'Reportes chatbot'!$C$5:$C$5004,"&lt;"&amp;DATE(2027,1,1))</f>
        <v>0</v>
      </c>
      <c r="E20">
        <f>COUNTIFS('Reportes chatbot'!$D$5:$D$5004,$A20,'Reportes chatbot'!$N$5:$N$5004,"approved",'Reportes chatbot'!$O$5:$O$5004,"si",'Reportes chatbot'!$E$5:$E$5004,"hurto_consumado")</f>
        <v>0</v>
      </c>
      <c r="F20">
        <f>COUNTIFS('Reportes chatbot'!$D$5:$D$5004,$A20,'Reportes chatbot'!$N$5:$N$5004,"approved",'Reportes chatbot'!$O$5:$O$5004,"si",'Reportes chatbot'!$E$5:$E$5004,"intento_hurto")</f>
        <v>0</v>
      </c>
      <c r="G20">
        <f>COUNTIFS('Reportes chatbot'!$D$5:$D$5004,$A20,'Reportes chatbot'!$N$5:$N$5004,"pending")</f>
        <v>0</v>
      </c>
      <c r="H20">
        <f>COUNTIFS('Reportes chatbot'!$D$5:$D$5004,$A20,'Reportes chatbot'!$N$5:$N$5004,"needs_review")</f>
        <v>0</v>
      </c>
    </row>
    <row r="21">
      <c r="A21" t="str">
        <v>17</v>
      </c>
      <c r="B21" t="str">
        <v>La Candelaria</v>
      </c>
      <c r="C21">
        <f>COUNTIFS('Reportes chatbot'!$D$5:$D$5004,$A21,'Reportes chatbot'!$N$5:$N$5004,"approved",'Reportes chatbot'!$O$5:$O$5004,"si")</f>
        <v>0</v>
      </c>
      <c r="D21">
        <f>COUNTIFS('Reportes chatbot'!$D$5:$D$5004,$A21,'Reportes chatbot'!$N$5:$N$5004,"approved",'Reportes chatbot'!$O$5:$O$5004,"si",'Reportes chatbot'!$C$5:$C$5004,"&gt;="&amp;DATE(2026,1,1),'Reportes chatbot'!$C$5:$C$5004,"&lt;"&amp;DATE(2027,1,1))</f>
        <v>0</v>
      </c>
      <c r="E21">
        <f>COUNTIFS('Reportes chatbot'!$D$5:$D$5004,$A21,'Reportes chatbot'!$N$5:$N$5004,"approved",'Reportes chatbot'!$O$5:$O$5004,"si",'Reportes chatbot'!$E$5:$E$5004,"hurto_consumado")</f>
        <v>0</v>
      </c>
      <c r="F21">
        <f>COUNTIFS('Reportes chatbot'!$D$5:$D$5004,$A21,'Reportes chatbot'!$N$5:$N$5004,"approved",'Reportes chatbot'!$O$5:$O$5004,"si",'Reportes chatbot'!$E$5:$E$5004,"intento_hurto")</f>
        <v>0</v>
      </c>
      <c r="G21">
        <f>COUNTIFS('Reportes chatbot'!$D$5:$D$5004,$A21,'Reportes chatbot'!$N$5:$N$5004,"pending")</f>
        <v>0</v>
      </c>
      <c r="H21">
        <f>COUNTIFS('Reportes chatbot'!$D$5:$D$5004,$A21,'Reportes chatbot'!$N$5:$N$5004,"needs_review")</f>
        <v>0</v>
      </c>
    </row>
    <row r="22">
      <c r="A22" t="str">
        <v>18</v>
      </c>
      <c r="B22" t="str">
        <v>Rafael Uribe Uribe</v>
      </c>
      <c r="C22">
        <f>COUNTIFS('Reportes chatbot'!$D$5:$D$5004,$A22,'Reportes chatbot'!$N$5:$N$5004,"approved",'Reportes chatbot'!$O$5:$O$5004,"si")</f>
        <v>0</v>
      </c>
      <c r="D22">
        <f>COUNTIFS('Reportes chatbot'!$D$5:$D$5004,$A22,'Reportes chatbot'!$N$5:$N$5004,"approved",'Reportes chatbot'!$O$5:$O$5004,"si",'Reportes chatbot'!$C$5:$C$5004,"&gt;="&amp;DATE(2026,1,1),'Reportes chatbot'!$C$5:$C$5004,"&lt;"&amp;DATE(2027,1,1))</f>
        <v>0</v>
      </c>
      <c r="E22">
        <f>COUNTIFS('Reportes chatbot'!$D$5:$D$5004,$A22,'Reportes chatbot'!$N$5:$N$5004,"approved",'Reportes chatbot'!$O$5:$O$5004,"si",'Reportes chatbot'!$E$5:$E$5004,"hurto_consumado")</f>
        <v>0</v>
      </c>
      <c r="F22">
        <f>COUNTIFS('Reportes chatbot'!$D$5:$D$5004,$A22,'Reportes chatbot'!$N$5:$N$5004,"approved",'Reportes chatbot'!$O$5:$O$5004,"si",'Reportes chatbot'!$E$5:$E$5004,"intento_hurto")</f>
        <v>0</v>
      </c>
      <c r="G22">
        <f>COUNTIFS('Reportes chatbot'!$D$5:$D$5004,$A22,'Reportes chatbot'!$N$5:$N$5004,"pending")</f>
        <v>0</v>
      </c>
      <c r="H22">
        <f>COUNTIFS('Reportes chatbot'!$D$5:$D$5004,$A22,'Reportes chatbot'!$N$5:$N$5004,"needs_review")</f>
        <v>0</v>
      </c>
    </row>
    <row r="23">
      <c r="A23" t="str">
        <v>19</v>
      </c>
      <c r="B23" t="str">
        <v>Ciudad Bolívar</v>
      </c>
      <c r="C23">
        <f>COUNTIFS('Reportes chatbot'!$D$5:$D$5004,$A23,'Reportes chatbot'!$N$5:$N$5004,"approved",'Reportes chatbot'!$O$5:$O$5004,"si")</f>
        <v>0</v>
      </c>
      <c r="D23">
        <f>COUNTIFS('Reportes chatbot'!$D$5:$D$5004,$A23,'Reportes chatbot'!$N$5:$N$5004,"approved",'Reportes chatbot'!$O$5:$O$5004,"si",'Reportes chatbot'!$C$5:$C$5004,"&gt;="&amp;DATE(2026,1,1),'Reportes chatbot'!$C$5:$C$5004,"&lt;"&amp;DATE(2027,1,1))</f>
        <v>0</v>
      </c>
      <c r="E23">
        <f>COUNTIFS('Reportes chatbot'!$D$5:$D$5004,$A23,'Reportes chatbot'!$N$5:$N$5004,"approved",'Reportes chatbot'!$O$5:$O$5004,"si",'Reportes chatbot'!$E$5:$E$5004,"hurto_consumado")</f>
        <v>0</v>
      </c>
      <c r="F23">
        <f>COUNTIFS('Reportes chatbot'!$D$5:$D$5004,$A23,'Reportes chatbot'!$N$5:$N$5004,"approved",'Reportes chatbot'!$O$5:$O$5004,"si",'Reportes chatbot'!$E$5:$E$5004,"intento_hurto")</f>
        <v>0</v>
      </c>
      <c r="G23">
        <f>COUNTIFS('Reportes chatbot'!$D$5:$D$5004,$A23,'Reportes chatbot'!$N$5:$N$5004,"pending")</f>
        <v>0</v>
      </c>
      <c r="H23">
        <f>COUNTIFS('Reportes chatbot'!$D$5:$D$5004,$A23,'Reportes chatbot'!$N$5:$N$5004,"needs_review")</f>
        <v>0</v>
      </c>
    </row>
    <row r="24">
      <c r="A24" t="str">
        <v>20</v>
      </c>
      <c r="B24" t="str">
        <v>Sumapaz</v>
      </c>
      <c r="C24">
        <f>COUNTIFS('Reportes chatbot'!$D$5:$D$5004,$A24,'Reportes chatbot'!$N$5:$N$5004,"approved",'Reportes chatbot'!$O$5:$O$5004,"si")</f>
        <v>0</v>
      </c>
      <c r="D24">
        <f>COUNTIFS('Reportes chatbot'!$D$5:$D$5004,$A24,'Reportes chatbot'!$N$5:$N$5004,"approved",'Reportes chatbot'!$O$5:$O$5004,"si",'Reportes chatbot'!$C$5:$C$5004,"&gt;="&amp;DATE(2026,1,1),'Reportes chatbot'!$C$5:$C$5004,"&lt;"&amp;DATE(2027,1,1))</f>
        <v>0</v>
      </c>
      <c r="E24">
        <f>COUNTIFS('Reportes chatbot'!$D$5:$D$5004,$A24,'Reportes chatbot'!$N$5:$N$5004,"approved",'Reportes chatbot'!$O$5:$O$5004,"si",'Reportes chatbot'!$E$5:$E$5004,"hurto_consumado")</f>
        <v>0</v>
      </c>
      <c r="F24">
        <f>COUNTIFS('Reportes chatbot'!$D$5:$D$5004,$A24,'Reportes chatbot'!$N$5:$N$5004,"approved",'Reportes chatbot'!$O$5:$O$5004,"si",'Reportes chatbot'!$E$5:$E$5004,"intento_hurto")</f>
        <v>0</v>
      </c>
      <c r="G24">
        <f>COUNTIFS('Reportes chatbot'!$D$5:$D$5004,$A24,'Reportes chatbot'!$N$5:$N$5004,"pending")</f>
        <v>0</v>
      </c>
      <c r="H24">
        <f>COUNTIFS('Reportes chatbot'!$D$5:$D$5004,$A24,'Reportes chatbot'!$N$5:$N$5004,"needs_review")</f>
        <v>0</v>
      </c>
    </row>
  </sheetData>
  <mergeCells count="2">
    <mergeCell ref="A1:H1"/>
    <mergeCell ref="A2:H2"/>
  </mergeCells>
  <pageMargins left="0.7" right="0.7" top="0.75" bottom="0.75" header="0.3" footer="0.3"/>
  <ignoredErrors>
    <ignoredError numberStoredAsText="1" sqref="A1:H24"/>
  </ignoredErrors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0"/>
  <sheetViews>
    <sheetView workbookViewId="0" rightToLeft="0"/>
  </sheetViews>
  <sheetData>
    <row r="1">
      <c r="A1" t="str">
        <v>Dashboard de control · serie anual y comunidad</v>
      </c>
    </row>
    <row r="2">
      <c r="A2" t="str">
        <v>Serie oficial: años completos 2018–2025. 2026 permanece como parcial y no entra en las tendencias anuales.</v>
      </c>
    </row>
    <row r="4">
      <c r="A4" t="str">
        <v>Hurtos a personas 2025 · Bogotá</v>
      </c>
      <c r="E4" t="str">
        <v>Incidentes 123 por hurto 2025</v>
      </c>
      <c r="I4" t="str">
        <v>Cobertura territorial de hurtos 2025</v>
      </c>
      <c r="M4" t="str">
        <v>Reportes comunitarios aprobados</v>
      </c>
    </row>
    <row r="5">
      <c r="A5">
        <f>'Fuentes y control'!$B$14</f>
        <v>123800</v>
      </c>
      <c r="E5">
        <f>'Fuentes y control'!$B$15</f>
        <v>139082</v>
      </c>
      <c r="I5">
        <f>'Fuentes y control'!$B$16</f>
        <v>0.8230533099999999</v>
      </c>
      <c r="M5">
        <f>SUM('Mapa comunidad'!$C$5:$C$24)</f>
        <v>0</v>
      </c>
    </row>
    <row r="10">
      <c r="A10" t="str">
        <v>Año</v>
      </c>
      <c r="B10" t="str">
        <v>Hurtos a personas</v>
      </c>
      <c r="C10" t="str">
        <v>Incidentes 123</v>
      </c>
      <c r="E10" t="str">
        <v>Localidad 2024</v>
      </c>
      <c r="F10" t="str">
        <v>Hurtos</v>
      </c>
      <c r="G10" t="str">
        <v>Incidentes 123</v>
      </c>
      <c r="I10" t="str">
        <v>Estado comunitario</v>
      </c>
      <c r="J10" t="str">
        <v>Cantidad</v>
      </c>
      <c r="L10" t="str">
        <v>Alerta territorial 2025</v>
      </c>
    </row>
    <row r="11">
      <c r="A11">
        <v>2018</v>
      </c>
      <c r="B11">
        <v>105943</v>
      </c>
      <c r="C11">
        <v>151381</v>
      </c>
      <c r="E11" t="str">
        <v>Suba</v>
      </c>
      <c r="F11">
        <v>12836</v>
      </c>
      <c r="G11">
        <v>14669</v>
      </c>
      <c r="I11" t="str">
        <v>pending</v>
      </c>
      <c r="J11">
        <f>COUNTIF('Reportes chatbot'!$N$5:$N$5004,I11)</f>
        <v>0</v>
      </c>
      <c r="L11" t="str">
        <v>21.906 hurtos a personas quedaron sin localidad (17,7%). El total distrital es válido; el mapa 2025 debe mostrar esta advertencia.</v>
      </c>
    </row>
    <row r="12">
      <c r="A12">
        <v>2019</v>
      </c>
      <c r="B12">
        <v>127828</v>
      </c>
      <c r="C12">
        <v>147993</v>
      </c>
      <c r="E12" t="str">
        <v>Engativá</v>
      </c>
      <c r="F12">
        <v>12343</v>
      </c>
      <c r="G12">
        <v>15032</v>
      </c>
      <c r="I12" t="str">
        <v>approved</v>
      </c>
      <c r="J12">
        <f>COUNTIF('Reportes chatbot'!$N$5:$N$5004,I12)</f>
        <v>0</v>
      </c>
    </row>
    <row r="13">
      <c r="A13">
        <v>2020</v>
      </c>
      <c r="B13">
        <v>83131</v>
      </c>
      <c r="C13">
        <v>116302</v>
      </c>
      <c r="E13" t="str">
        <v>Kennedy</v>
      </c>
      <c r="F13">
        <v>11961</v>
      </c>
      <c r="G13">
        <v>15910</v>
      </c>
      <c r="I13" t="str">
        <v>needs_review</v>
      </c>
      <c r="J13">
        <f>COUNTIF('Reportes chatbot'!$N$5:$N$5004,I13)</f>
        <v>0</v>
      </c>
    </row>
    <row r="14">
      <c r="A14">
        <v>2021</v>
      </c>
      <c r="B14">
        <v>108785</v>
      </c>
      <c r="C14">
        <v>143162</v>
      </c>
      <c r="E14" t="str">
        <v>Los Mártires</v>
      </c>
      <c r="F14">
        <v>11499</v>
      </c>
      <c r="G14">
        <v>5107</v>
      </c>
      <c r="I14" t="str">
        <v>rejected</v>
      </c>
      <c r="J14">
        <f>COUNTIF('Reportes chatbot'!$N$5:$N$5004,I14)</f>
        <v>0</v>
      </c>
    </row>
    <row r="15">
      <c r="A15">
        <v>2022</v>
      </c>
      <c r="B15">
        <v>137132</v>
      </c>
      <c r="C15">
        <v>139812</v>
      </c>
      <c r="E15" t="str">
        <v>Chapinero</v>
      </c>
      <c r="F15">
        <v>10977</v>
      </c>
      <c r="G15">
        <v>6017</v>
      </c>
    </row>
    <row r="16">
      <c r="A16">
        <v>2023</v>
      </c>
      <c r="B16">
        <v>158747</v>
      </c>
      <c r="C16">
        <v>145871</v>
      </c>
      <c r="E16" t="str">
        <v>Santa Fe</v>
      </c>
      <c r="F16">
        <v>9553</v>
      </c>
      <c r="G16">
        <v>4542</v>
      </c>
    </row>
    <row r="17">
      <c r="A17">
        <v>2024</v>
      </c>
      <c r="B17">
        <v>130504</v>
      </c>
      <c r="C17">
        <v>134964</v>
      </c>
      <c r="E17" t="str">
        <v>Usaquén</v>
      </c>
      <c r="F17">
        <v>8641</v>
      </c>
      <c r="G17">
        <v>8125</v>
      </c>
    </row>
    <row r="18">
      <c r="A18">
        <v>2025</v>
      </c>
      <c r="B18">
        <v>123800</v>
      </c>
      <c r="C18">
        <v>139082</v>
      </c>
      <c r="E18" t="str">
        <v>Fontibón</v>
      </c>
      <c r="F18">
        <v>8185</v>
      </c>
      <c r="G18">
        <v>6892</v>
      </c>
    </row>
    <row r="19">
      <c r="E19" t="str">
        <v>Teusaquillo</v>
      </c>
      <c r="F19">
        <v>7545</v>
      </c>
      <c r="G19">
        <v>5806</v>
      </c>
    </row>
    <row r="20">
      <c r="E20" t="str">
        <v>Puente Aranda</v>
      </c>
      <c r="F20">
        <v>5614</v>
      </c>
      <c r="G20">
        <v>8186</v>
      </c>
    </row>
  </sheetData>
  <mergeCells count="12">
    <mergeCell ref="A1:N1"/>
    <mergeCell ref="A2:N2"/>
    <mergeCell ref="A4:C4"/>
    <mergeCell ref="A5:C7"/>
    <mergeCell ref="E4:G4"/>
    <mergeCell ref="E5:G7"/>
    <mergeCell ref="I4:K4"/>
    <mergeCell ref="I5:K7"/>
    <mergeCell ref="M4:N4"/>
    <mergeCell ref="M5:N7"/>
    <mergeCell ref="L10:N10"/>
    <mergeCell ref="L11:N14"/>
  </mergeCells>
  <pageMargins left="0.7" right="0.7" top="0.75" bottom="0.75" header="0.3" footer="0.3"/>
  <ignoredErrors>
    <ignoredError numberStoredAsText="1" sqref="A1:M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164"/>
  <sheetViews>
    <sheetView workbookViewId="0" rightToLeft="0"/>
  </sheetViews>
  <sheetData>
    <row r="1">
      <c r="A1" t="str">
        <v>Datos oficiales anuales integrados · 2018–2025</v>
      </c>
    </row>
    <row r="2">
      <c r="A2" t="str">
        <v>Hurto a personas, incidentes 123 por hurto y población. Años completos enero–diciembre.</v>
      </c>
    </row>
    <row r="4">
      <c r="A4" t="str">
        <v>locality_code</v>
      </c>
      <c r="B4" t="str">
        <v>locality_name</v>
      </c>
      <c r="C4" t="str">
        <v>year</v>
      </c>
      <c r="D4" t="str">
        <v>registered_person_thefts</v>
      </c>
      <c r="E4" t="str">
        <v>incident_locality_name</v>
      </c>
      <c r="F4" t="str">
        <v>reported_123_theft_incidents</v>
      </c>
      <c r="G4" t="str">
        <v>population</v>
      </c>
      <c r="H4" t="str">
        <v>period_label</v>
      </c>
      <c r="I4" t="str">
        <v>coverage</v>
      </c>
      <c r="J4" t="str">
        <v>theft_rate_per_100k</v>
      </c>
      <c r="K4" t="str">
        <v>incident_rate_per_100k</v>
      </c>
      <c r="L4" t="str">
        <v>incidents_per_registered_theft</v>
      </c>
      <c r="M4" t="str">
        <v>count_rank</v>
      </c>
      <c r="N4" t="str">
        <v>rate_rank</v>
      </c>
      <c r="O4" t="str">
        <v>theft_yoy_pct</v>
      </c>
      <c r="P4" t="str">
        <v>incident_yoy_pct</v>
      </c>
      <c r="Q4" t="str">
        <v>divergence_yoy_pp</v>
      </c>
    </row>
    <row r="5">
      <c r="A5" t="str">
        <v>01</v>
      </c>
      <c r="B5" t="str">
        <v>Usaquén</v>
      </c>
      <c r="C5">
        <v>2018</v>
      </c>
      <c r="D5">
        <v>9117</v>
      </c>
      <c r="E5" t="str">
        <v>Usaquén</v>
      </c>
      <c r="F5">
        <v>11415</v>
      </c>
      <c r="G5">
        <v>534118</v>
      </c>
      <c r="H5" t="str">
        <v>Enero-Diciembre</v>
      </c>
      <c r="I5" t="str">
        <v>full_year</v>
      </c>
      <c r="J5">
        <v>1706.926185</v>
      </c>
      <c r="K5">
        <v>2137.168191</v>
      </c>
      <c r="L5">
        <v>1.2520565975649884</v>
      </c>
      <c r="M5">
        <v>5</v>
      </c>
      <c r="N5">
        <v>9</v>
      </c>
    </row>
    <row r="6">
      <c r="A6" t="str">
        <v>02</v>
      </c>
      <c r="B6" t="str">
        <v>Chapinero</v>
      </c>
      <c r="C6">
        <v>2018</v>
      </c>
      <c r="D6">
        <v>10204</v>
      </c>
      <c r="E6" t="str">
        <v>Chapinero</v>
      </c>
      <c r="F6">
        <v>6851</v>
      </c>
      <c r="G6">
        <v>156010</v>
      </c>
      <c r="H6" t="str">
        <v>Enero-Diciembre</v>
      </c>
      <c r="I6" t="str">
        <v>full_year</v>
      </c>
      <c r="J6">
        <v>6540.606371</v>
      </c>
      <c r="K6">
        <v>4391.385168</v>
      </c>
      <c r="L6">
        <v>0.6714033712269698</v>
      </c>
      <c r="M6">
        <v>3</v>
      </c>
      <c r="N6">
        <v>3</v>
      </c>
    </row>
    <row r="7">
      <c r="A7" t="str">
        <v>03</v>
      </c>
      <c r="B7" t="str">
        <v>Santa Fe</v>
      </c>
      <c r="C7">
        <v>2018</v>
      </c>
      <c r="D7">
        <v>7228</v>
      </c>
      <c r="E7" t="str">
        <v>Santa Fe</v>
      </c>
      <c r="F7">
        <v>5233</v>
      </c>
      <c r="G7">
        <v>103640</v>
      </c>
      <c r="H7" t="str">
        <v>Enero-Diciembre</v>
      </c>
      <c r="I7" t="str">
        <v>full_year</v>
      </c>
      <c r="J7">
        <v>6974.141258</v>
      </c>
      <c r="K7">
        <v>5049.2088</v>
      </c>
      <c r="L7">
        <v>0.7239900387382402</v>
      </c>
      <c r="M7">
        <v>6</v>
      </c>
      <c r="N7">
        <v>2</v>
      </c>
    </row>
    <row r="8">
      <c r="A8" t="str">
        <v>04</v>
      </c>
      <c r="B8" t="str">
        <v>San Cristóbal</v>
      </c>
      <c r="C8">
        <v>2018</v>
      </c>
      <c r="D8">
        <v>2343</v>
      </c>
      <c r="E8" t="str">
        <v>San Cristóbal</v>
      </c>
      <c r="F8">
        <v>6019</v>
      </c>
      <c r="G8">
        <v>384392</v>
      </c>
      <c r="H8" t="str">
        <v>Enero-Diciembre</v>
      </c>
      <c r="I8" t="str">
        <v>full_year</v>
      </c>
      <c r="J8">
        <v>609.534017</v>
      </c>
      <c r="K8">
        <v>1565.849445</v>
      </c>
      <c r="L8">
        <v>2.5689287238583014</v>
      </c>
      <c r="M8">
        <v>15</v>
      </c>
      <c r="N8">
        <v>17</v>
      </c>
    </row>
    <row r="9">
      <c r="A9" t="str">
        <v>05</v>
      </c>
      <c r="B9" t="str">
        <v>Usme</v>
      </c>
      <c r="C9">
        <v>2018</v>
      </c>
      <c r="D9">
        <v>1854</v>
      </c>
      <c r="E9" t="str">
        <v>Usme</v>
      </c>
      <c r="F9">
        <v>4266</v>
      </c>
      <c r="G9">
        <v>362295</v>
      </c>
      <c r="H9" t="str">
        <v>Enero-Diciembre</v>
      </c>
      <c r="I9" t="str">
        <v>full_year</v>
      </c>
      <c r="J9">
        <v>511.737672</v>
      </c>
      <c r="K9">
        <v>1177.493479</v>
      </c>
      <c r="L9">
        <v>2.3009708737864076</v>
      </c>
      <c r="M9">
        <v>17</v>
      </c>
      <c r="N9">
        <v>19</v>
      </c>
    </row>
    <row r="10">
      <c r="A10" t="str">
        <v>06</v>
      </c>
      <c r="B10" t="str">
        <v>Tunjuelito</v>
      </c>
      <c r="C10">
        <v>2018</v>
      </c>
      <c r="D10">
        <v>2181</v>
      </c>
      <c r="E10" t="str">
        <v>Tunjuelito</v>
      </c>
      <c r="F10">
        <v>3734</v>
      </c>
      <c r="G10">
        <v>171130</v>
      </c>
      <c r="H10" t="str">
        <v>Enero-Diciembre</v>
      </c>
      <c r="I10" t="str">
        <v>full_year</v>
      </c>
      <c r="J10">
        <v>1274.469701</v>
      </c>
      <c r="K10">
        <v>2181.966926</v>
      </c>
      <c r="L10">
        <v>1.7120586886749198</v>
      </c>
      <c r="M10">
        <v>16</v>
      </c>
      <c r="N10">
        <v>11</v>
      </c>
    </row>
    <row r="11">
      <c r="A11" t="str">
        <v>07</v>
      </c>
      <c r="B11" t="str">
        <v>Bosa</v>
      </c>
      <c r="C11">
        <v>2018</v>
      </c>
      <c r="D11">
        <v>4340</v>
      </c>
      <c r="E11" t="str">
        <v>Bosa</v>
      </c>
      <c r="F11">
        <v>10223</v>
      </c>
      <c r="G11">
        <v>692418</v>
      </c>
      <c r="H11" t="str">
        <v>Enero-Diciembre</v>
      </c>
      <c r="I11" t="str">
        <v>full_year</v>
      </c>
      <c r="J11">
        <v>626.789021</v>
      </c>
      <c r="K11">
        <v>1476.420313</v>
      </c>
      <c r="L11">
        <v>2.355529953917051</v>
      </c>
      <c r="M11">
        <v>12</v>
      </c>
      <c r="N11">
        <v>16</v>
      </c>
    </row>
    <row r="12">
      <c r="A12" t="str">
        <v>08</v>
      </c>
      <c r="B12" t="str">
        <v>Kennedy</v>
      </c>
      <c r="C12">
        <v>2018</v>
      </c>
      <c r="D12">
        <v>11081</v>
      </c>
      <c r="E12" t="str">
        <v>Kennedy</v>
      </c>
      <c r="F12">
        <v>20184</v>
      </c>
      <c r="G12">
        <v>1016834</v>
      </c>
      <c r="H12" t="str">
        <v>Enero-Diciembre</v>
      </c>
      <c r="I12" t="str">
        <v>full_year</v>
      </c>
      <c r="J12">
        <v>1089.755063</v>
      </c>
      <c r="K12">
        <v>1984.984766</v>
      </c>
      <c r="L12">
        <v>1.8214962548506453</v>
      </c>
      <c r="M12">
        <v>1</v>
      </c>
      <c r="N12">
        <v>13</v>
      </c>
    </row>
    <row r="13">
      <c r="A13" t="str">
        <v>09</v>
      </c>
      <c r="B13" t="str">
        <v>Fontibón</v>
      </c>
      <c r="C13">
        <v>2018</v>
      </c>
      <c r="D13">
        <v>6204</v>
      </c>
      <c r="E13" t="str">
        <v>Fontibón</v>
      </c>
      <c r="F13">
        <v>6232</v>
      </c>
      <c r="G13">
        <v>364832</v>
      </c>
      <c r="H13" t="str">
        <v>Enero-Diciembre</v>
      </c>
      <c r="I13" t="str">
        <v>full_year</v>
      </c>
      <c r="J13">
        <v>1700.508727</v>
      </c>
      <c r="K13">
        <v>1708.183493</v>
      </c>
      <c r="L13">
        <v>1.0045132172791746</v>
      </c>
      <c r="M13">
        <v>8</v>
      </c>
      <c r="N13">
        <v>10</v>
      </c>
    </row>
    <row r="14">
      <c r="A14" t="str">
        <v>10</v>
      </c>
      <c r="B14" t="str">
        <v>Engativá</v>
      </c>
      <c r="C14">
        <v>2018</v>
      </c>
      <c r="D14">
        <v>9667</v>
      </c>
      <c r="E14" t="str">
        <v>Engativá</v>
      </c>
      <c r="F14">
        <v>15458</v>
      </c>
      <c r="G14">
        <v>790205</v>
      </c>
      <c r="H14" t="str">
        <v>Enero-Diciembre</v>
      </c>
      <c r="I14" t="str">
        <v>full_year</v>
      </c>
      <c r="J14">
        <v>1223.353434</v>
      </c>
      <c r="K14">
        <v>1956.201239</v>
      </c>
      <c r="L14">
        <v>1.599048308679011</v>
      </c>
      <c r="M14">
        <v>4</v>
      </c>
      <c r="N14">
        <v>12</v>
      </c>
    </row>
    <row r="15">
      <c r="A15" t="str">
        <v>11</v>
      </c>
      <c r="B15" t="str">
        <v>Suba</v>
      </c>
      <c r="C15">
        <v>2018</v>
      </c>
      <c r="D15">
        <v>10971</v>
      </c>
      <c r="E15" t="str">
        <v>Suba</v>
      </c>
      <c r="F15">
        <v>18051</v>
      </c>
      <c r="G15">
        <v>1149099</v>
      </c>
      <c r="H15" t="str">
        <v>Enero-Diciembre</v>
      </c>
      <c r="I15" t="str">
        <v>full_year</v>
      </c>
      <c r="J15">
        <v>954.748024</v>
      </c>
      <c r="K15">
        <v>1570.882927</v>
      </c>
      <c r="L15">
        <v>1.6453377085042384</v>
      </c>
      <c r="M15">
        <v>2</v>
      </c>
      <c r="N15">
        <v>14</v>
      </c>
    </row>
    <row r="16">
      <c r="A16" t="str">
        <v>12</v>
      </c>
      <c r="B16" t="str">
        <v>Barrios Unidos</v>
      </c>
      <c r="C16">
        <v>2018</v>
      </c>
      <c r="D16">
        <v>4572</v>
      </c>
      <c r="E16" t="str">
        <v>Barrios Unidos</v>
      </c>
      <c r="F16">
        <v>5158</v>
      </c>
      <c r="G16">
        <v>132784</v>
      </c>
      <c r="H16" t="str">
        <v>Enero-Diciembre</v>
      </c>
      <c r="I16" t="str">
        <v>full_year</v>
      </c>
      <c r="J16">
        <v>3443.185926</v>
      </c>
      <c r="K16">
        <v>3884.504157</v>
      </c>
      <c r="L16">
        <v>1.1281714785651793</v>
      </c>
      <c r="M16">
        <v>10</v>
      </c>
      <c r="N16">
        <v>6</v>
      </c>
    </row>
    <row r="17">
      <c r="A17" t="str">
        <v>13</v>
      </c>
      <c r="B17" t="str">
        <v>Teusaquillo</v>
      </c>
      <c r="C17">
        <v>2018</v>
      </c>
      <c r="D17">
        <v>6976</v>
      </c>
      <c r="E17" t="str">
        <v>Teusaquillo</v>
      </c>
      <c r="F17">
        <v>5419</v>
      </c>
      <c r="G17">
        <v>144122</v>
      </c>
      <c r="H17" t="str">
        <v>Enero-Diciembre</v>
      </c>
      <c r="I17" t="str">
        <v>full_year</v>
      </c>
      <c r="J17">
        <v>4840.343598</v>
      </c>
      <c r="K17">
        <v>3760.008881</v>
      </c>
      <c r="L17">
        <v>0.7768061926605505</v>
      </c>
      <c r="M17">
        <v>7</v>
      </c>
      <c r="N17">
        <v>5</v>
      </c>
    </row>
    <row r="18">
      <c r="A18" t="str">
        <v>14</v>
      </c>
      <c r="B18" t="str">
        <v>Los Mártires</v>
      </c>
      <c r="C18">
        <v>2018</v>
      </c>
      <c r="D18">
        <v>4412</v>
      </c>
      <c r="E18" t="str">
        <v>Los Mártires</v>
      </c>
      <c r="F18">
        <v>4705</v>
      </c>
      <c r="G18">
        <v>73076</v>
      </c>
      <c r="H18" t="str">
        <v>Enero-Diciembre</v>
      </c>
      <c r="I18" t="str">
        <v>full_year</v>
      </c>
      <c r="J18">
        <v>6037.549948</v>
      </c>
      <c r="K18">
        <v>6438.502381</v>
      </c>
      <c r="L18">
        <v>1.066409791477788</v>
      </c>
      <c r="M18">
        <v>11</v>
      </c>
      <c r="N18">
        <v>4</v>
      </c>
    </row>
    <row r="19">
      <c r="A19" t="str">
        <v>15</v>
      </c>
      <c r="B19" t="str">
        <v>Antonio Nariño</v>
      </c>
      <c r="C19">
        <v>2018</v>
      </c>
      <c r="D19">
        <v>1804</v>
      </c>
      <c r="E19" t="str">
        <v>Antonio Nariño</v>
      </c>
      <c r="F19">
        <v>2707</v>
      </c>
      <c r="G19">
        <v>79011</v>
      </c>
      <c r="H19" t="str">
        <v>Enero-Diciembre</v>
      </c>
      <c r="I19" t="str">
        <v>full_year</v>
      </c>
      <c r="J19">
        <v>2283.226386</v>
      </c>
      <c r="K19">
        <v>3426.105226</v>
      </c>
      <c r="L19">
        <v>1.5005543237250554</v>
      </c>
      <c r="M19">
        <v>18</v>
      </c>
      <c r="N19">
        <v>7</v>
      </c>
    </row>
    <row r="20">
      <c r="A20" t="str">
        <v>16</v>
      </c>
      <c r="B20" t="str">
        <v>Puente Aranda</v>
      </c>
      <c r="C20">
        <v>2018</v>
      </c>
      <c r="D20">
        <v>4761</v>
      </c>
      <c r="E20" t="str">
        <v>Puente Aranda</v>
      </c>
      <c r="F20">
        <v>8062</v>
      </c>
      <c r="G20">
        <v>242184</v>
      </c>
      <c r="H20" t="str">
        <v>Enero-Diciembre</v>
      </c>
      <c r="I20" t="str">
        <v>full_year</v>
      </c>
      <c r="J20">
        <v>1965.860668</v>
      </c>
      <c r="K20">
        <v>3328.873914</v>
      </c>
      <c r="L20">
        <v>1.6933417349296367</v>
      </c>
      <c r="M20">
        <v>9</v>
      </c>
      <c r="N20">
        <v>8</v>
      </c>
    </row>
    <row r="21">
      <c r="A21" t="str">
        <v>17</v>
      </c>
      <c r="B21" t="str">
        <v>La Candelaria</v>
      </c>
      <c r="C21">
        <v>2018</v>
      </c>
      <c r="D21">
        <v>1573</v>
      </c>
      <c r="E21" t="str">
        <v>La Candelaria</v>
      </c>
      <c r="F21">
        <v>912</v>
      </c>
      <c r="G21">
        <v>17018</v>
      </c>
      <c r="H21" t="str">
        <v>Enero-Diciembre</v>
      </c>
      <c r="I21" t="str">
        <v>full_year</v>
      </c>
      <c r="J21">
        <v>9243.154307</v>
      </c>
      <c r="K21">
        <v>5359.031614</v>
      </c>
      <c r="L21">
        <v>0.5797838525111252</v>
      </c>
      <c r="M21">
        <v>19</v>
      </c>
      <c r="N21">
        <v>1</v>
      </c>
    </row>
    <row r="22">
      <c r="A22" t="str">
        <v>18</v>
      </c>
      <c r="B22" t="str">
        <v>Rafael Uribe Uribe</v>
      </c>
      <c r="C22">
        <v>2018</v>
      </c>
      <c r="D22">
        <v>3347</v>
      </c>
      <c r="E22" t="str">
        <v>Rafael Uribe Uribe</v>
      </c>
      <c r="F22">
        <v>7067</v>
      </c>
      <c r="G22">
        <v>363471</v>
      </c>
      <c r="H22" t="str">
        <v>Enero-Diciembre</v>
      </c>
      <c r="I22" t="str">
        <v>full_year</v>
      </c>
      <c r="J22">
        <v>920.843754</v>
      </c>
      <c r="K22">
        <v>1944.309175</v>
      </c>
      <c r="L22">
        <v>2.1114430833582314</v>
      </c>
      <c r="M22">
        <v>13</v>
      </c>
      <c r="N22">
        <v>15</v>
      </c>
    </row>
    <row r="23">
      <c r="A23" t="str">
        <v>19</v>
      </c>
      <c r="B23" t="str">
        <v>Ciudad Bolívar</v>
      </c>
      <c r="C23">
        <v>2018</v>
      </c>
      <c r="D23">
        <v>3305</v>
      </c>
      <c r="E23" t="str">
        <v>Ciudad Bolívar</v>
      </c>
      <c r="F23">
        <v>9458</v>
      </c>
      <c r="G23">
        <v>611245</v>
      </c>
      <c r="H23" t="str">
        <v>Enero-Diciembre</v>
      </c>
      <c r="I23" t="str">
        <v>full_year</v>
      </c>
      <c r="J23">
        <v>540.699719</v>
      </c>
      <c r="K23">
        <v>1547.333721</v>
      </c>
      <c r="L23">
        <v>2.8617246596066566</v>
      </c>
      <c r="M23">
        <v>14</v>
      </c>
      <c r="N23">
        <v>18</v>
      </c>
    </row>
    <row r="24">
      <c r="A24" t="str">
        <v>20</v>
      </c>
      <c r="B24" t="str">
        <v>Sumapaz</v>
      </c>
      <c r="C24">
        <v>2018</v>
      </c>
      <c r="D24">
        <v>3</v>
      </c>
      <c r="E24" t="str">
        <v>Sumapaz</v>
      </c>
      <c r="F24">
        <v>0</v>
      </c>
      <c r="G24">
        <v>3172</v>
      </c>
      <c r="H24" t="str">
        <v>Enero-Diciembre</v>
      </c>
      <c r="I24" t="str">
        <v>full_year</v>
      </c>
      <c r="J24">
        <v>94.577554</v>
      </c>
      <c r="K24">
        <v>0</v>
      </c>
      <c r="L24">
        <v>0</v>
      </c>
      <c r="M24">
        <v>20</v>
      </c>
      <c r="N24">
        <v>20</v>
      </c>
    </row>
    <row r="25">
      <c r="A25" t="str">
        <v>01</v>
      </c>
      <c r="B25" t="str">
        <v>Usaquén</v>
      </c>
      <c r="C25">
        <v>2019</v>
      </c>
      <c r="D25">
        <v>10806</v>
      </c>
      <c r="E25" t="str">
        <v>Usaquén</v>
      </c>
      <c r="F25">
        <v>10966</v>
      </c>
      <c r="G25">
        <v>556257</v>
      </c>
      <c r="H25" t="str">
        <v>Enero-Diciembre</v>
      </c>
      <c r="I25" t="str">
        <v>full_year</v>
      </c>
      <c r="J25">
        <v>1942.627239</v>
      </c>
      <c r="K25">
        <v>1971.390922</v>
      </c>
      <c r="L25">
        <v>1.0148065889320748</v>
      </c>
      <c r="M25">
        <v>5</v>
      </c>
      <c r="N25">
        <v>10</v>
      </c>
      <c r="O25">
        <v>18.525831</v>
      </c>
      <c r="P25">
        <v>-3.933421</v>
      </c>
      <c r="Q25">
        <v>-22.459252</v>
      </c>
    </row>
    <row r="26">
      <c r="A26" t="str">
        <v>02</v>
      </c>
      <c r="B26" t="str">
        <v>Chapinero</v>
      </c>
      <c r="C26">
        <v>2019</v>
      </c>
      <c r="D26">
        <v>13551</v>
      </c>
      <c r="E26" t="str">
        <v>Chapinero</v>
      </c>
      <c r="F26">
        <v>7997</v>
      </c>
      <c r="G26">
        <v>158365</v>
      </c>
      <c r="H26" t="str">
        <v>Enero-Diciembre</v>
      </c>
      <c r="I26" t="str">
        <v>full_year</v>
      </c>
      <c r="J26">
        <v>8556.814953</v>
      </c>
      <c r="K26">
        <v>5049.726897</v>
      </c>
      <c r="L26">
        <v>0.5901409490074533</v>
      </c>
      <c r="M26">
        <v>1</v>
      </c>
      <c r="N26">
        <v>2</v>
      </c>
      <c r="O26">
        <v>32.800862</v>
      </c>
      <c r="P26">
        <v>16.727485</v>
      </c>
      <c r="Q26">
        <v>-16.073377</v>
      </c>
    </row>
    <row r="27">
      <c r="A27" t="str">
        <v>03</v>
      </c>
      <c r="B27" t="str">
        <v>Santa Fe</v>
      </c>
      <c r="C27">
        <v>2019</v>
      </c>
      <c r="D27">
        <v>8099</v>
      </c>
      <c r="E27" t="str">
        <v>Santa Fe</v>
      </c>
      <c r="F27">
        <v>5078</v>
      </c>
      <c r="G27">
        <v>106046</v>
      </c>
      <c r="H27" t="str">
        <v>Enero-Diciembre</v>
      </c>
      <c r="I27" t="str">
        <v>full_year</v>
      </c>
      <c r="J27">
        <v>7637.251759</v>
      </c>
      <c r="K27">
        <v>4788.488015</v>
      </c>
      <c r="L27">
        <v>0.6269909865415484</v>
      </c>
      <c r="M27">
        <v>7</v>
      </c>
      <c r="N27">
        <v>3</v>
      </c>
      <c r="O27">
        <v>12.05036</v>
      </c>
      <c r="P27">
        <v>-2.961972</v>
      </c>
      <c r="Q27">
        <v>-15.012332</v>
      </c>
    </row>
    <row r="28">
      <c r="A28" t="str">
        <v>04</v>
      </c>
      <c r="B28" t="str">
        <v>San Cristóbal</v>
      </c>
      <c r="C28">
        <v>2019</v>
      </c>
      <c r="D28">
        <v>2857</v>
      </c>
      <c r="E28" t="str">
        <v>San Cristóbal</v>
      </c>
      <c r="F28">
        <v>6401</v>
      </c>
      <c r="G28">
        <v>387780</v>
      </c>
      <c r="H28" t="str">
        <v>Enero-Diciembre</v>
      </c>
      <c r="I28" t="str">
        <v>full_year</v>
      </c>
      <c r="J28">
        <v>736.757956</v>
      </c>
      <c r="K28">
        <v>1650.67822</v>
      </c>
      <c r="L28">
        <v>2.240462023101155</v>
      </c>
      <c r="M28">
        <v>15</v>
      </c>
      <c r="N28">
        <v>17</v>
      </c>
      <c r="O28">
        <v>21.937687</v>
      </c>
      <c r="P28">
        <v>6.346569</v>
      </c>
      <c r="Q28">
        <v>-15.591118</v>
      </c>
    </row>
    <row r="29">
      <c r="A29" t="str">
        <v>05</v>
      </c>
      <c r="B29" t="str">
        <v>Usme</v>
      </c>
      <c r="C29">
        <v>2019</v>
      </c>
      <c r="D29">
        <v>2294</v>
      </c>
      <c r="E29" t="str">
        <v>Usme</v>
      </c>
      <c r="F29">
        <v>3690</v>
      </c>
      <c r="G29">
        <v>369554</v>
      </c>
      <c r="H29" t="str">
        <v>Enero-Diciembre</v>
      </c>
      <c r="I29" t="str">
        <v>full_year</v>
      </c>
      <c r="J29">
        <v>620.748253</v>
      </c>
      <c r="K29">
        <v>998.500896</v>
      </c>
      <c r="L29">
        <v>1.6085440278988665</v>
      </c>
      <c r="M29">
        <v>18</v>
      </c>
      <c r="N29">
        <v>19</v>
      </c>
      <c r="O29">
        <v>23.73247</v>
      </c>
      <c r="P29">
        <v>-13.50211</v>
      </c>
      <c r="Q29">
        <v>-37.23458</v>
      </c>
    </row>
    <row r="30">
      <c r="A30" t="str">
        <v>06</v>
      </c>
      <c r="B30" t="str">
        <v>Tunjuelito</v>
      </c>
      <c r="C30">
        <v>2019</v>
      </c>
      <c r="D30">
        <v>2551</v>
      </c>
      <c r="E30" t="str">
        <v>Tunjuelito</v>
      </c>
      <c r="F30">
        <v>3186</v>
      </c>
      <c r="G30">
        <v>173152</v>
      </c>
      <c r="H30" t="str">
        <v>Enero-Diciembre</v>
      </c>
      <c r="I30" t="str">
        <v>full_year</v>
      </c>
      <c r="J30">
        <v>1473.272038</v>
      </c>
      <c r="K30">
        <v>1840.001848</v>
      </c>
      <c r="L30">
        <v>1.248921991375931</v>
      </c>
      <c r="M30">
        <v>16</v>
      </c>
      <c r="N30">
        <v>11</v>
      </c>
      <c r="O30">
        <v>16.964695</v>
      </c>
      <c r="P30">
        <v>-14.675951</v>
      </c>
      <c r="Q30">
        <v>-31.640646</v>
      </c>
    </row>
    <row r="31">
      <c r="A31" t="str">
        <v>07</v>
      </c>
      <c r="B31" t="str">
        <v>Bosa</v>
      </c>
      <c r="C31">
        <v>2019</v>
      </c>
      <c r="D31">
        <v>5225</v>
      </c>
      <c r="E31" t="str">
        <v>Bosa</v>
      </c>
      <c r="F31">
        <v>9881</v>
      </c>
      <c r="G31">
        <v>701367</v>
      </c>
      <c r="H31" t="str">
        <v>Enero-Diciembre</v>
      </c>
      <c r="I31" t="str">
        <v>full_year</v>
      </c>
      <c r="J31">
        <v>744.973744</v>
      </c>
      <c r="K31">
        <v>1408.820204</v>
      </c>
      <c r="L31">
        <v>1.8911004784688996</v>
      </c>
      <c r="M31">
        <v>12</v>
      </c>
      <c r="N31">
        <v>16</v>
      </c>
      <c r="O31">
        <v>20.391705</v>
      </c>
      <c r="P31">
        <v>-3.345398</v>
      </c>
      <c r="Q31">
        <v>-23.737103</v>
      </c>
    </row>
    <row r="32">
      <c r="A32" t="str">
        <v>08</v>
      </c>
      <c r="B32" t="str">
        <v>Kennedy</v>
      </c>
      <c r="C32">
        <v>2019</v>
      </c>
      <c r="D32">
        <v>13044</v>
      </c>
      <c r="E32" t="str">
        <v>Kennedy</v>
      </c>
      <c r="F32">
        <v>18720</v>
      </c>
      <c r="G32">
        <v>1038169</v>
      </c>
      <c r="H32" t="str">
        <v>Enero-Diciembre</v>
      </c>
      <c r="I32" t="str">
        <v>full_year</v>
      </c>
      <c r="J32">
        <v>1256.442833</v>
      </c>
      <c r="K32">
        <v>1803.174628</v>
      </c>
      <c r="L32">
        <v>1.4351425942962281</v>
      </c>
      <c r="M32">
        <v>2</v>
      </c>
      <c r="N32">
        <v>13</v>
      </c>
      <c r="O32">
        <v>17.715008</v>
      </c>
      <c r="P32">
        <v>-7.25327</v>
      </c>
      <c r="Q32">
        <v>-24.968278</v>
      </c>
    </row>
    <row r="33">
      <c r="A33" t="str">
        <v>09</v>
      </c>
      <c r="B33" t="str">
        <v>Fontibón</v>
      </c>
      <c r="C33">
        <v>2019</v>
      </c>
      <c r="D33">
        <v>7803</v>
      </c>
      <c r="E33" t="str">
        <v>Fontibón</v>
      </c>
      <c r="F33">
        <v>6708</v>
      </c>
      <c r="G33">
        <v>371367</v>
      </c>
      <c r="H33" t="str">
        <v>Enero-Diciembre</v>
      </c>
      <c r="I33" t="str">
        <v>full_year</v>
      </c>
      <c r="J33">
        <v>2101.155999</v>
      </c>
      <c r="K33">
        <v>1806.299429</v>
      </c>
      <c r="L33">
        <v>0.8596693579392541</v>
      </c>
      <c r="M33">
        <v>8</v>
      </c>
      <c r="N33">
        <v>9</v>
      </c>
      <c r="O33">
        <v>25.773694</v>
      </c>
      <c r="P33">
        <v>7.637997</v>
      </c>
      <c r="Q33">
        <v>-18.135697</v>
      </c>
    </row>
    <row r="34">
      <c r="A34" t="str">
        <v>10</v>
      </c>
      <c r="B34" t="str">
        <v>Engativá</v>
      </c>
      <c r="C34">
        <v>2019</v>
      </c>
      <c r="D34">
        <v>11535</v>
      </c>
      <c r="E34" t="str">
        <v>Engativá</v>
      </c>
      <c r="F34">
        <v>15760</v>
      </c>
      <c r="G34">
        <v>803512</v>
      </c>
      <c r="H34" t="str">
        <v>Enero-Diciembre</v>
      </c>
      <c r="I34" t="str">
        <v>full_year</v>
      </c>
      <c r="J34">
        <v>1435.572835</v>
      </c>
      <c r="K34">
        <v>1961.3895</v>
      </c>
      <c r="L34">
        <v>1.366276549631556</v>
      </c>
      <c r="M34">
        <v>4</v>
      </c>
      <c r="N34">
        <v>12</v>
      </c>
      <c r="O34">
        <v>19.323472</v>
      </c>
      <c r="P34">
        <v>1.953681</v>
      </c>
      <c r="Q34">
        <v>-17.369791</v>
      </c>
    </row>
    <row r="35">
      <c r="A35" t="str">
        <v>11</v>
      </c>
      <c r="B35" t="str">
        <v>Suba</v>
      </c>
      <c r="C35">
        <v>2019</v>
      </c>
      <c r="D35">
        <v>12708</v>
      </c>
      <c r="E35" t="str">
        <v>Suba</v>
      </c>
      <c r="F35">
        <v>17270</v>
      </c>
      <c r="G35">
        <v>1175678</v>
      </c>
      <c r="H35" t="str">
        <v>Enero-Diciembre</v>
      </c>
      <c r="I35" t="str">
        <v>full_year</v>
      </c>
      <c r="J35">
        <v>1080.908208</v>
      </c>
      <c r="K35">
        <v>1468.939625</v>
      </c>
      <c r="L35">
        <v>1.3589864652187598</v>
      </c>
      <c r="M35">
        <v>3</v>
      </c>
      <c r="N35">
        <v>15</v>
      </c>
      <c r="O35">
        <v>15.83265</v>
      </c>
      <c r="P35">
        <v>-4.32663</v>
      </c>
      <c r="Q35">
        <v>-20.15928</v>
      </c>
    </row>
    <row r="36">
      <c r="A36" t="str">
        <v>12</v>
      </c>
      <c r="B36" t="str">
        <v>Barrios Unidos</v>
      </c>
      <c r="C36">
        <v>2019</v>
      </c>
      <c r="D36">
        <v>5432</v>
      </c>
      <c r="E36" t="str">
        <v>Barrios Unidos</v>
      </c>
      <c r="F36">
        <v>5193</v>
      </c>
      <c r="G36">
        <v>133784</v>
      </c>
      <c r="H36" t="str">
        <v>Enero-Diciembre</v>
      </c>
      <c r="I36" t="str">
        <v>full_year</v>
      </c>
      <c r="J36">
        <v>4060.276266</v>
      </c>
      <c r="K36">
        <v>3881.63009</v>
      </c>
      <c r="L36">
        <v>0.9560014727540501</v>
      </c>
      <c r="M36">
        <v>11</v>
      </c>
      <c r="N36">
        <v>6</v>
      </c>
      <c r="O36">
        <v>18.810149</v>
      </c>
      <c r="P36">
        <v>0.678558</v>
      </c>
      <c r="Q36">
        <v>-18.131591</v>
      </c>
    </row>
    <row r="37">
      <c r="A37" t="str">
        <v>13</v>
      </c>
      <c r="B37" t="str">
        <v>Teusaquillo</v>
      </c>
      <c r="C37">
        <v>2019</v>
      </c>
      <c r="D37">
        <v>8132</v>
      </c>
      <c r="E37" t="str">
        <v>Teusaquillo</v>
      </c>
      <c r="F37">
        <v>5729</v>
      </c>
      <c r="G37">
        <v>147038</v>
      </c>
      <c r="H37" t="str">
        <v>Enero-Diciembre</v>
      </c>
      <c r="I37" t="str">
        <v>full_year</v>
      </c>
      <c r="J37">
        <v>5530.543125</v>
      </c>
      <c r="K37">
        <v>3896.271712</v>
      </c>
      <c r="L37">
        <v>0.7045007378258731</v>
      </c>
      <c r="M37">
        <v>6</v>
      </c>
      <c r="N37">
        <v>5</v>
      </c>
      <c r="O37">
        <v>16.571101</v>
      </c>
      <c r="P37">
        <v>5.720613</v>
      </c>
      <c r="Q37">
        <v>-10.850488</v>
      </c>
    </row>
    <row r="38">
      <c r="A38" t="str">
        <v>14</v>
      </c>
      <c r="B38" t="str">
        <v>Los Mártires</v>
      </c>
      <c r="C38">
        <v>2019</v>
      </c>
      <c r="D38">
        <v>5493</v>
      </c>
      <c r="E38" t="str">
        <v>Los Mártires</v>
      </c>
      <c r="F38">
        <v>4483</v>
      </c>
      <c r="G38">
        <v>73732</v>
      </c>
      <c r="H38" t="str">
        <v>Enero-Diciembre</v>
      </c>
      <c r="I38" t="str">
        <v>full_year</v>
      </c>
      <c r="J38">
        <v>7449.953887</v>
      </c>
      <c r="K38">
        <v>6080.128031</v>
      </c>
      <c r="L38">
        <v>0.8161296195157474</v>
      </c>
      <c r="M38">
        <v>10</v>
      </c>
      <c r="N38">
        <v>4</v>
      </c>
      <c r="O38">
        <v>24.50136</v>
      </c>
      <c r="P38">
        <v>-4.718385</v>
      </c>
      <c r="Q38">
        <v>-29.219745</v>
      </c>
    </row>
    <row r="39">
      <c r="A39" t="str">
        <v>15</v>
      </c>
      <c r="B39" t="str">
        <v>Antonio Nariño</v>
      </c>
      <c r="C39">
        <v>2019</v>
      </c>
      <c r="D39">
        <v>2420</v>
      </c>
      <c r="E39" t="str">
        <v>Antonio Nariño</v>
      </c>
      <c r="F39">
        <v>2731</v>
      </c>
      <c r="G39">
        <v>79278</v>
      </c>
      <c r="H39" t="str">
        <v>Enero-Diciembre</v>
      </c>
      <c r="I39" t="str">
        <v>full_year</v>
      </c>
      <c r="J39">
        <v>3052.549257</v>
      </c>
      <c r="K39">
        <v>3444.839678</v>
      </c>
      <c r="L39">
        <v>1.1285123966942148</v>
      </c>
      <c r="M39">
        <v>17</v>
      </c>
      <c r="N39">
        <v>7</v>
      </c>
      <c r="O39">
        <v>34.146341</v>
      </c>
      <c r="P39">
        <v>0.88659</v>
      </c>
      <c r="Q39">
        <v>-33.259751</v>
      </c>
    </row>
    <row r="40">
      <c r="A40" t="str">
        <v>16</v>
      </c>
      <c r="B40" t="str">
        <v>Puente Aranda</v>
      </c>
      <c r="C40">
        <v>2019</v>
      </c>
      <c r="D40">
        <v>5804</v>
      </c>
      <c r="E40" t="str">
        <v>Puente Aranda</v>
      </c>
      <c r="F40">
        <v>7313</v>
      </c>
      <c r="G40">
        <v>244880</v>
      </c>
      <c r="H40" t="str">
        <v>Enero-Diciembre</v>
      </c>
      <c r="I40" t="str">
        <v>full_year</v>
      </c>
      <c r="J40">
        <v>2370.140477</v>
      </c>
      <c r="K40">
        <v>2986.360666</v>
      </c>
      <c r="L40">
        <v>1.2599931082012406</v>
      </c>
      <c r="M40">
        <v>9</v>
      </c>
      <c r="N40">
        <v>8</v>
      </c>
      <c r="O40">
        <v>21.907162</v>
      </c>
      <c r="P40">
        <v>-9.290499</v>
      </c>
      <c r="Q40">
        <v>-31.197661</v>
      </c>
    </row>
    <row r="41">
      <c r="A41" t="str">
        <v>17</v>
      </c>
      <c r="B41" t="str">
        <v>La Candelaria</v>
      </c>
      <c r="C41">
        <v>2019</v>
      </c>
      <c r="D41">
        <v>1844</v>
      </c>
      <c r="E41" t="str">
        <v>La Candelaria</v>
      </c>
      <c r="F41">
        <v>763</v>
      </c>
      <c r="G41">
        <v>17054</v>
      </c>
      <c r="H41" t="str">
        <v>Enero-Diciembre</v>
      </c>
      <c r="I41" t="str">
        <v>full_year</v>
      </c>
      <c r="J41">
        <v>10812.71256</v>
      </c>
      <c r="K41">
        <v>4474.023689</v>
      </c>
      <c r="L41">
        <v>0.4137744034707158</v>
      </c>
      <c r="M41">
        <v>19</v>
      </c>
      <c r="N41">
        <v>1</v>
      </c>
      <c r="O41">
        <v>17.228226</v>
      </c>
      <c r="P41">
        <v>-16.337719</v>
      </c>
      <c r="Q41">
        <v>-33.565946</v>
      </c>
    </row>
    <row r="42">
      <c r="A42" t="str">
        <v>18</v>
      </c>
      <c r="B42" t="str">
        <v>Rafael Uribe Uribe</v>
      </c>
      <c r="C42">
        <v>2019</v>
      </c>
      <c r="D42">
        <v>3995</v>
      </c>
      <c r="E42" t="str">
        <v>Rafael Uribe Uribe</v>
      </c>
      <c r="F42">
        <v>6678</v>
      </c>
      <c r="G42">
        <v>368116</v>
      </c>
      <c r="H42" t="str">
        <v>Enero-Diciembre</v>
      </c>
      <c r="I42" t="str">
        <v>full_year</v>
      </c>
      <c r="J42">
        <v>1085.255735</v>
      </c>
      <c r="K42">
        <v>1814.102077</v>
      </c>
      <c r="L42">
        <v>1.6715894868585732</v>
      </c>
      <c r="M42">
        <v>14</v>
      </c>
      <c r="N42">
        <v>14</v>
      </c>
      <c r="O42">
        <v>19.360621</v>
      </c>
      <c r="P42">
        <v>-5.504457</v>
      </c>
      <c r="Q42">
        <v>-24.865079</v>
      </c>
    </row>
    <row r="43">
      <c r="A43" t="str">
        <v>19</v>
      </c>
      <c r="B43" t="str">
        <v>Ciudad Bolívar</v>
      </c>
      <c r="C43">
        <v>2019</v>
      </c>
      <c r="D43">
        <v>4194</v>
      </c>
      <c r="E43" t="str">
        <v>Ciudad Bolívar</v>
      </c>
      <c r="F43">
        <v>8581</v>
      </c>
      <c r="G43">
        <v>624876</v>
      </c>
      <c r="H43" t="str">
        <v>Enero-Diciembre</v>
      </c>
      <c r="I43" t="str">
        <v>full_year</v>
      </c>
      <c r="J43">
        <v>671.173161</v>
      </c>
      <c r="K43">
        <v>1373.232449</v>
      </c>
      <c r="L43">
        <v>2.0460181211254174</v>
      </c>
      <c r="M43">
        <v>13</v>
      </c>
      <c r="N43">
        <v>18</v>
      </c>
      <c r="O43">
        <v>26.898638</v>
      </c>
      <c r="P43">
        <v>-9.272573</v>
      </c>
      <c r="Q43">
        <v>-36.171212</v>
      </c>
    </row>
    <row r="44">
      <c r="A44" t="str">
        <v>20</v>
      </c>
      <c r="B44" t="str">
        <v>Sumapaz</v>
      </c>
      <c r="C44">
        <v>2019</v>
      </c>
      <c r="D44">
        <v>0</v>
      </c>
      <c r="E44" t="str">
        <v>Sumapaz</v>
      </c>
      <c r="F44">
        <v>4</v>
      </c>
      <c r="G44">
        <v>3197</v>
      </c>
      <c r="H44" t="str">
        <v>Enero-Diciembre</v>
      </c>
      <c r="I44" t="str">
        <v>full_year</v>
      </c>
      <c r="J44">
        <v>0</v>
      </c>
      <c r="K44">
        <v>125.117297</v>
      </c>
      <c r="M44">
        <v>20</v>
      </c>
      <c r="N44">
        <v>20</v>
      </c>
      <c r="O44">
        <v>-100</v>
      </c>
      <c r="P44" t="str">
        <v>inf</v>
      </c>
      <c r="Q44" t="str">
        <v>inf</v>
      </c>
    </row>
    <row r="45">
      <c r="A45" t="str">
        <v>01</v>
      </c>
      <c r="B45" t="str">
        <v>Usaquén</v>
      </c>
      <c r="C45">
        <v>2020</v>
      </c>
      <c r="D45">
        <v>6144</v>
      </c>
      <c r="E45" t="str">
        <v>Usaquén</v>
      </c>
      <c r="F45">
        <v>7379</v>
      </c>
      <c r="G45">
        <v>572435</v>
      </c>
      <c r="H45" t="str">
        <v>Enero-Diciembre</v>
      </c>
      <c r="I45" t="str">
        <v>full_year</v>
      </c>
      <c r="J45">
        <v>1073.309633</v>
      </c>
      <c r="K45">
        <v>1289.054652</v>
      </c>
      <c r="L45">
        <v>1.2010091145833333</v>
      </c>
      <c r="M45">
        <v>4</v>
      </c>
      <c r="N45">
        <v>12</v>
      </c>
      <c r="O45">
        <v>-43.142699</v>
      </c>
      <c r="P45">
        <v>-32.710195</v>
      </c>
      <c r="Q45">
        <v>10.432503</v>
      </c>
    </row>
    <row r="46">
      <c r="A46" t="str">
        <v>02</v>
      </c>
      <c r="B46" t="str">
        <v>Chapinero</v>
      </c>
      <c r="C46">
        <v>2020</v>
      </c>
      <c r="D46">
        <v>5369</v>
      </c>
      <c r="E46" t="str">
        <v>Chapinero</v>
      </c>
      <c r="F46">
        <v>3552</v>
      </c>
      <c r="G46">
        <v>161416</v>
      </c>
      <c r="H46" t="str">
        <v>Enero-Diciembre</v>
      </c>
      <c r="I46" t="str">
        <v>full_year</v>
      </c>
      <c r="J46">
        <v>3326.188234</v>
      </c>
      <c r="K46">
        <v>2200.525351</v>
      </c>
      <c r="L46">
        <v>0.66157571242317</v>
      </c>
      <c r="M46">
        <v>5</v>
      </c>
      <c r="N46">
        <v>4</v>
      </c>
      <c r="O46">
        <v>-60.379308</v>
      </c>
      <c r="P46">
        <v>-55.583344</v>
      </c>
      <c r="Q46">
        <v>4.795964</v>
      </c>
    </row>
    <row r="47">
      <c r="A47" t="str">
        <v>03</v>
      </c>
      <c r="B47" t="str">
        <v>Santa Fe</v>
      </c>
      <c r="C47">
        <v>2020</v>
      </c>
      <c r="D47">
        <v>3921</v>
      </c>
      <c r="E47" t="str">
        <v>Santa Fe</v>
      </c>
      <c r="F47">
        <v>3234</v>
      </c>
      <c r="G47">
        <v>109168</v>
      </c>
      <c r="H47" t="str">
        <v>Enero-Diciembre</v>
      </c>
      <c r="I47" t="str">
        <v>full_year</v>
      </c>
      <c r="J47">
        <v>3591.711857</v>
      </c>
      <c r="K47">
        <v>2962.406566</v>
      </c>
      <c r="L47">
        <v>0.8247895944912013</v>
      </c>
      <c r="M47">
        <v>10</v>
      </c>
      <c r="N47">
        <v>3</v>
      </c>
      <c r="O47">
        <v>-51.586616</v>
      </c>
      <c r="P47">
        <v>-36.313509</v>
      </c>
      <c r="Q47">
        <v>15.273106</v>
      </c>
    </row>
    <row r="48">
      <c r="A48" t="str">
        <v>04</v>
      </c>
      <c r="B48" t="str">
        <v>San Cristóbal</v>
      </c>
      <c r="C48">
        <v>2020</v>
      </c>
      <c r="D48">
        <v>2566</v>
      </c>
      <c r="E48" t="str">
        <v>San Cristóbal</v>
      </c>
      <c r="F48">
        <v>5380</v>
      </c>
      <c r="G48">
        <v>393357</v>
      </c>
      <c r="H48" t="str">
        <v>Enero-Diciembre</v>
      </c>
      <c r="I48" t="str">
        <v>full_year</v>
      </c>
      <c r="J48">
        <v>652.333631</v>
      </c>
      <c r="K48">
        <v>1367.714315</v>
      </c>
      <c r="L48">
        <v>2.0966484801247076</v>
      </c>
      <c r="M48">
        <v>15</v>
      </c>
      <c r="N48">
        <v>16</v>
      </c>
      <c r="O48">
        <v>-10.185509</v>
      </c>
      <c r="P48">
        <v>-15.950633</v>
      </c>
      <c r="Q48">
        <v>-5.765123</v>
      </c>
    </row>
    <row r="49">
      <c r="A49" t="str">
        <v>05</v>
      </c>
      <c r="B49" t="str">
        <v>Usme</v>
      </c>
      <c r="C49">
        <v>2020</v>
      </c>
      <c r="D49">
        <v>1884</v>
      </c>
      <c r="E49" t="str">
        <v>Usme</v>
      </c>
      <c r="F49">
        <v>3709</v>
      </c>
      <c r="G49">
        <v>378875</v>
      </c>
      <c r="H49" t="str">
        <v>Enero-Diciembre</v>
      </c>
      <c r="I49" t="str">
        <v>full_year</v>
      </c>
      <c r="J49">
        <v>497.26163</v>
      </c>
      <c r="K49">
        <v>978.950841</v>
      </c>
      <c r="L49">
        <v>1.9686836518046709</v>
      </c>
      <c r="M49">
        <v>18</v>
      </c>
      <c r="N49">
        <v>19</v>
      </c>
      <c r="O49">
        <v>-17.872711</v>
      </c>
      <c r="P49">
        <v>0.514905</v>
      </c>
      <c r="Q49">
        <v>18.387617</v>
      </c>
    </row>
    <row r="50">
      <c r="A50" t="str">
        <v>06</v>
      </c>
      <c r="B50" t="str">
        <v>Tunjuelito</v>
      </c>
      <c r="C50">
        <v>2020</v>
      </c>
      <c r="D50">
        <v>1905</v>
      </c>
      <c r="E50" t="str">
        <v>Tunjuelito</v>
      </c>
      <c r="F50">
        <v>2662</v>
      </c>
      <c r="G50">
        <v>176152</v>
      </c>
      <c r="H50" t="str">
        <v>Enero-Diciembre</v>
      </c>
      <c r="I50" t="str">
        <v>full_year</v>
      </c>
      <c r="J50">
        <v>1081.452382</v>
      </c>
      <c r="K50">
        <v>1511.194877</v>
      </c>
      <c r="L50">
        <v>1.3973753280839896</v>
      </c>
      <c r="M50">
        <v>17</v>
      </c>
      <c r="N50">
        <v>11</v>
      </c>
      <c r="O50">
        <v>-25.323403</v>
      </c>
      <c r="P50">
        <v>-16.446955</v>
      </c>
      <c r="Q50">
        <v>8.876447</v>
      </c>
    </row>
    <row r="51">
      <c r="A51" t="str">
        <v>07</v>
      </c>
      <c r="B51" t="str">
        <v>Bosa</v>
      </c>
      <c r="C51">
        <v>2020</v>
      </c>
      <c r="D51">
        <v>4516</v>
      </c>
      <c r="E51" t="str">
        <v>Bosa</v>
      </c>
      <c r="F51">
        <v>8118</v>
      </c>
      <c r="G51">
        <v>721583</v>
      </c>
      <c r="H51" t="str">
        <v>Enero-Diciembre</v>
      </c>
      <c r="I51" t="str">
        <v>full_year</v>
      </c>
      <c r="J51">
        <v>625.84623</v>
      </c>
      <c r="K51">
        <v>1125.026504</v>
      </c>
      <c r="L51">
        <v>1.7976085031000886</v>
      </c>
      <c r="M51">
        <v>7</v>
      </c>
      <c r="N51">
        <v>17</v>
      </c>
      <c r="O51">
        <v>-13.569378</v>
      </c>
      <c r="P51">
        <v>-17.842324</v>
      </c>
      <c r="Q51">
        <v>-4.272946</v>
      </c>
    </row>
    <row r="52">
      <c r="A52" t="str">
        <v>08</v>
      </c>
      <c r="B52" t="str">
        <v>Kennedy</v>
      </c>
      <c r="C52">
        <v>2020</v>
      </c>
      <c r="D52">
        <v>9546</v>
      </c>
      <c r="E52" t="str">
        <v>Kennedy</v>
      </c>
      <c r="F52">
        <v>13969</v>
      </c>
      <c r="G52">
        <v>1065707</v>
      </c>
      <c r="H52" t="str">
        <v>Enero-Diciembre</v>
      </c>
      <c r="I52" t="str">
        <v>full_year</v>
      </c>
      <c r="J52">
        <v>895.743389</v>
      </c>
      <c r="K52">
        <v>1310.773036</v>
      </c>
      <c r="L52">
        <v>1.4633354284517075</v>
      </c>
      <c r="M52">
        <v>1</v>
      </c>
      <c r="N52">
        <v>13</v>
      </c>
      <c r="O52">
        <v>-26.816927</v>
      </c>
      <c r="P52">
        <v>-25.379274</v>
      </c>
      <c r="Q52">
        <v>1.437654</v>
      </c>
    </row>
    <row r="53">
      <c r="A53" t="str">
        <v>09</v>
      </c>
      <c r="B53" t="str">
        <v>Fontibón</v>
      </c>
      <c r="C53">
        <v>2020</v>
      </c>
      <c r="D53">
        <v>5305</v>
      </c>
      <c r="E53" t="str">
        <v>Fontibón</v>
      </c>
      <c r="F53">
        <v>5280</v>
      </c>
      <c r="G53">
        <v>380016</v>
      </c>
      <c r="H53" t="str">
        <v>Enero-Diciembre</v>
      </c>
      <c r="I53" t="str">
        <v>full_year</v>
      </c>
      <c r="J53">
        <v>1395.993853</v>
      </c>
      <c r="K53">
        <v>1389.415183</v>
      </c>
      <c r="L53">
        <v>0.9952874646559849</v>
      </c>
      <c r="M53">
        <v>6</v>
      </c>
      <c r="N53">
        <v>9</v>
      </c>
      <c r="O53">
        <v>-32.013328</v>
      </c>
      <c r="P53">
        <v>-21.288014</v>
      </c>
      <c r="Q53">
        <v>10.725314</v>
      </c>
    </row>
    <row r="54">
      <c r="A54" t="str">
        <v>10</v>
      </c>
      <c r="B54" t="str">
        <v>Engativá</v>
      </c>
      <c r="C54">
        <v>2020</v>
      </c>
      <c r="D54">
        <v>9006</v>
      </c>
      <c r="E54" t="str">
        <v>Engativá</v>
      </c>
      <c r="F54">
        <v>12640</v>
      </c>
      <c r="G54">
        <v>821445</v>
      </c>
      <c r="H54" t="str">
        <v>Enero-Diciembre</v>
      </c>
      <c r="I54" t="str">
        <v>full_year</v>
      </c>
      <c r="J54">
        <v>1096.360681</v>
      </c>
      <c r="K54">
        <v>1538.751834</v>
      </c>
      <c r="L54">
        <v>1.4035087719298245</v>
      </c>
      <c r="M54">
        <v>2</v>
      </c>
      <c r="N54">
        <v>10</v>
      </c>
      <c r="O54">
        <v>-21.924577</v>
      </c>
      <c r="P54">
        <v>-19.796954</v>
      </c>
      <c r="Q54">
        <v>2.127623</v>
      </c>
    </row>
    <row r="55">
      <c r="A55" t="str">
        <v>11</v>
      </c>
      <c r="B55" t="str">
        <v>Suba</v>
      </c>
      <c r="C55">
        <v>2020</v>
      </c>
      <c r="D55">
        <v>8818</v>
      </c>
      <c r="E55" t="str">
        <v>Suba</v>
      </c>
      <c r="F55">
        <v>13107</v>
      </c>
      <c r="G55">
        <v>1209234</v>
      </c>
      <c r="H55" t="str">
        <v>Enero-Diciembre</v>
      </c>
      <c r="I55" t="str">
        <v>full_year</v>
      </c>
      <c r="J55">
        <v>729.22197</v>
      </c>
      <c r="K55">
        <v>1083.909318</v>
      </c>
      <c r="L55">
        <v>1.4863914719891131</v>
      </c>
      <c r="M55">
        <v>3</v>
      </c>
      <c r="N55">
        <v>15</v>
      </c>
      <c r="O55">
        <v>-30.610639</v>
      </c>
      <c r="P55">
        <v>-24.105385</v>
      </c>
      <c r="Q55">
        <v>6.505254</v>
      </c>
    </row>
    <row r="56">
      <c r="A56" t="str">
        <v>12</v>
      </c>
      <c r="B56" t="str">
        <v>Barrios Unidos</v>
      </c>
      <c r="C56">
        <v>2020</v>
      </c>
      <c r="D56">
        <v>3279</v>
      </c>
      <c r="E56" t="str">
        <v>Barrios Unidos</v>
      </c>
      <c r="F56">
        <v>3750</v>
      </c>
      <c r="G56">
        <v>136156</v>
      </c>
      <c r="H56" t="str">
        <v>Enero-Diciembre</v>
      </c>
      <c r="I56" t="str">
        <v>full_year</v>
      </c>
      <c r="J56">
        <v>2408.266988</v>
      </c>
      <c r="K56">
        <v>2754.193719</v>
      </c>
      <c r="L56">
        <v>1.1436413540713632</v>
      </c>
      <c r="M56">
        <v>13</v>
      </c>
      <c r="N56">
        <v>6</v>
      </c>
      <c r="O56">
        <v>-39.635493</v>
      </c>
      <c r="P56">
        <v>-27.787406</v>
      </c>
      <c r="Q56">
        <v>11.848087</v>
      </c>
    </row>
    <row r="57">
      <c r="A57" t="str">
        <v>13</v>
      </c>
      <c r="B57" t="str">
        <v>Teusaquillo</v>
      </c>
      <c r="C57">
        <v>2020</v>
      </c>
      <c r="D57">
        <v>3931</v>
      </c>
      <c r="E57" t="str">
        <v>Teusaquillo</v>
      </c>
      <c r="F57">
        <v>3775</v>
      </c>
      <c r="G57">
        <v>150894</v>
      </c>
      <c r="H57" t="str">
        <v>Enero-Diciembre</v>
      </c>
      <c r="I57" t="str">
        <v>full_year</v>
      </c>
      <c r="J57">
        <v>2605.140032</v>
      </c>
      <c r="K57">
        <v>2501.7562</v>
      </c>
      <c r="L57">
        <v>0.9603154413635208</v>
      </c>
      <c r="M57">
        <v>9</v>
      </c>
      <c r="N57">
        <v>5</v>
      </c>
      <c r="O57">
        <v>-51.660108</v>
      </c>
      <c r="P57">
        <v>-34.107174</v>
      </c>
      <c r="Q57">
        <v>17.552934</v>
      </c>
    </row>
    <row r="58">
      <c r="A58" t="str">
        <v>14</v>
      </c>
      <c r="B58" t="str">
        <v>Los Mártires</v>
      </c>
      <c r="C58">
        <v>2020</v>
      </c>
      <c r="D58">
        <v>3362</v>
      </c>
      <c r="E58" t="str">
        <v>Los Mártires</v>
      </c>
      <c r="F58">
        <v>3793</v>
      </c>
      <c r="G58">
        <v>74833</v>
      </c>
      <c r="H58" t="str">
        <v>Enero-Diciembre</v>
      </c>
      <c r="I58" t="str">
        <v>full_year</v>
      </c>
      <c r="J58">
        <v>4492.670346</v>
      </c>
      <c r="K58">
        <v>5068.619459</v>
      </c>
      <c r="L58">
        <v>1.12819750148721</v>
      </c>
      <c r="M58">
        <v>12</v>
      </c>
      <c r="N58">
        <v>2</v>
      </c>
      <c r="O58">
        <v>-38.79483</v>
      </c>
      <c r="P58">
        <v>-15.391479</v>
      </c>
      <c r="Q58">
        <v>23.403351</v>
      </c>
    </row>
    <row r="59">
      <c r="A59" t="str">
        <v>15</v>
      </c>
      <c r="B59" t="str">
        <v>Antonio Nariño</v>
      </c>
      <c r="C59">
        <v>2020</v>
      </c>
      <c r="D59">
        <v>1909</v>
      </c>
      <c r="E59" t="str">
        <v>Antonio Nariño</v>
      </c>
      <c r="F59">
        <v>2612</v>
      </c>
      <c r="G59">
        <v>80010</v>
      </c>
      <c r="H59" t="str">
        <v>Enero-Diciembre</v>
      </c>
      <c r="I59" t="str">
        <v>full_year</v>
      </c>
      <c r="J59">
        <v>2385.951756</v>
      </c>
      <c r="K59">
        <v>3264.591926</v>
      </c>
      <c r="L59">
        <v>1.3682556312205343</v>
      </c>
      <c r="M59">
        <v>16</v>
      </c>
      <c r="N59">
        <v>7</v>
      </c>
      <c r="O59">
        <v>-21.115702</v>
      </c>
      <c r="P59">
        <v>-4.357378</v>
      </c>
      <c r="Q59">
        <v>16.758324</v>
      </c>
    </row>
    <row r="60">
      <c r="A60" t="str">
        <v>16</v>
      </c>
      <c r="B60" t="str">
        <v>Puente Aranda</v>
      </c>
      <c r="C60">
        <v>2020</v>
      </c>
      <c r="D60">
        <v>4257</v>
      </c>
      <c r="E60" t="str">
        <v>Puente Aranda</v>
      </c>
      <c r="F60">
        <v>5526</v>
      </c>
      <c r="G60">
        <v>248966</v>
      </c>
      <c r="H60" t="str">
        <v>Enero-Diciembre</v>
      </c>
      <c r="I60" t="str">
        <v>full_year</v>
      </c>
      <c r="J60">
        <v>1709.872031</v>
      </c>
      <c r="K60">
        <v>2219.580184</v>
      </c>
      <c r="L60">
        <v>1.2980972515856237</v>
      </c>
      <c r="M60">
        <v>8</v>
      </c>
      <c r="N60">
        <v>8</v>
      </c>
      <c r="O60">
        <v>-26.654032</v>
      </c>
      <c r="P60">
        <v>-24.435936</v>
      </c>
      <c r="Q60">
        <v>2.218096</v>
      </c>
    </row>
    <row r="61">
      <c r="A61" t="str">
        <v>17</v>
      </c>
      <c r="B61" t="str">
        <v>La Candelaria</v>
      </c>
      <c r="C61">
        <v>2020</v>
      </c>
      <c r="D61">
        <v>781</v>
      </c>
      <c r="E61" t="str">
        <v>La Candelaria</v>
      </c>
      <c r="F61">
        <v>511</v>
      </c>
      <c r="G61">
        <v>17177</v>
      </c>
      <c r="H61" t="str">
        <v>Enero-Diciembre</v>
      </c>
      <c r="I61" t="str">
        <v>full_year</v>
      </c>
      <c r="J61">
        <v>4546.777668</v>
      </c>
      <c r="K61">
        <v>2974.908308</v>
      </c>
      <c r="L61">
        <v>0.6542893725992317</v>
      </c>
      <c r="M61">
        <v>19</v>
      </c>
      <c r="N61">
        <v>1</v>
      </c>
      <c r="O61">
        <v>-57.646421</v>
      </c>
      <c r="P61">
        <v>-33.027523</v>
      </c>
      <c r="Q61">
        <v>24.618898</v>
      </c>
    </row>
    <row r="62">
      <c r="A62" t="str">
        <v>18</v>
      </c>
      <c r="B62" t="str">
        <v>Rafael Uribe Uribe</v>
      </c>
      <c r="C62">
        <v>2020</v>
      </c>
      <c r="D62">
        <v>2990</v>
      </c>
      <c r="E62" t="str">
        <v>Rafael Uribe Uribe</v>
      </c>
      <c r="F62">
        <v>5443</v>
      </c>
      <c r="G62">
        <v>374791</v>
      </c>
      <c r="H62" t="str">
        <v>Enero-Diciembre</v>
      </c>
      <c r="I62" t="str">
        <v>full_year</v>
      </c>
      <c r="J62">
        <v>797.777962</v>
      </c>
      <c r="K62">
        <v>1452.276069</v>
      </c>
      <c r="L62">
        <v>1.8204013377926422</v>
      </c>
      <c r="M62">
        <v>14</v>
      </c>
      <c r="N62">
        <v>14</v>
      </c>
      <c r="O62">
        <v>-25.156446</v>
      </c>
      <c r="P62">
        <v>-18.493561</v>
      </c>
      <c r="Q62">
        <v>6.662885</v>
      </c>
    </row>
    <row r="63">
      <c r="A63" t="str">
        <v>19</v>
      </c>
      <c r="B63" t="str">
        <v>Ciudad Bolívar</v>
      </c>
      <c r="C63">
        <v>2020</v>
      </c>
      <c r="D63">
        <v>3633</v>
      </c>
      <c r="E63" t="str">
        <v>Ciudad Bolívar</v>
      </c>
      <c r="F63">
        <v>7154</v>
      </c>
      <c r="G63">
        <v>642109</v>
      </c>
      <c r="H63" t="str">
        <v>Enero-Diciembre</v>
      </c>
      <c r="I63" t="str">
        <v>full_year</v>
      </c>
      <c r="J63">
        <v>565.791789</v>
      </c>
      <c r="K63">
        <v>1114.141057</v>
      </c>
      <c r="L63">
        <v>1.9691714836223506</v>
      </c>
      <c r="M63">
        <v>11</v>
      </c>
      <c r="N63">
        <v>18</v>
      </c>
      <c r="O63">
        <v>-13.376252</v>
      </c>
      <c r="P63">
        <v>-16.629763</v>
      </c>
      <c r="Q63">
        <v>-3.253512</v>
      </c>
    </row>
    <row r="64">
      <c r="A64" t="str">
        <v>20</v>
      </c>
      <c r="B64" t="str">
        <v>Sumapaz</v>
      </c>
      <c r="C64">
        <v>2020</v>
      </c>
      <c r="D64">
        <v>2</v>
      </c>
      <c r="E64" t="str">
        <v>Sumapaz</v>
      </c>
      <c r="F64">
        <v>0</v>
      </c>
      <c r="G64">
        <v>3240</v>
      </c>
      <c r="H64" t="str">
        <v>Enero-Diciembre</v>
      </c>
      <c r="I64" t="str">
        <v>full_year</v>
      </c>
      <c r="J64">
        <v>61.728395</v>
      </c>
      <c r="K64">
        <v>0</v>
      </c>
      <c r="L64">
        <v>0</v>
      </c>
      <c r="M64">
        <v>20</v>
      </c>
      <c r="N64">
        <v>20</v>
      </c>
      <c r="O64" t="str">
        <v>inf</v>
      </c>
      <c r="P64">
        <v>-100</v>
      </c>
      <c r="Q64" t="str">
        <v>-inf</v>
      </c>
    </row>
    <row r="65">
      <c r="A65" t="str">
        <v>01</v>
      </c>
      <c r="B65" t="str">
        <v>Usaquén</v>
      </c>
      <c r="C65">
        <v>2021</v>
      </c>
      <c r="D65">
        <v>7734</v>
      </c>
      <c r="E65" t="str">
        <v>Usaquén</v>
      </c>
      <c r="F65">
        <v>8443</v>
      </c>
      <c r="G65">
        <v>580157</v>
      </c>
      <c r="H65" t="str">
        <v>Enero-Diciembre</v>
      </c>
      <c r="I65" t="str">
        <v>full_year</v>
      </c>
      <c r="J65">
        <v>1333.087423</v>
      </c>
      <c r="K65">
        <v>1455.295722</v>
      </c>
      <c r="L65">
        <v>1.091673131626584</v>
      </c>
      <c r="M65">
        <v>5</v>
      </c>
      <c r="N65">
        <v>12</v>
      </c>
      <c r="O65">
        <v>25.878906</v>
      </c>
      <c r="P65">
        <v>14.419298</v>
      </c>
      <c r="Q65">
        <v>-11.459608</v>
      </c>
    </row>
    <row r="66">
      <c r="A66" t="str">
        <v>02</v>
      </c>
      <c r="B66" t="str">
        <v>Chapinero</v>
      </c>
      <c r="C66">
        <v>2021</v>
      </c>
      <c r="D66">
        <v>8424</v>
      </c>
      <c r="E66" t="str">
        <v>Chapinero</v>
      </c>
      <c r="F66">
        <v>5060</v>
      </c>
      <c r="G66">
        <v>162226</v>
      </c>
      <c r="H66" t="str">
        <v>Enero-Diciembre</v>
      </c>
      <c r="I66" t="str">
        <v>full_year</v>
      </c>
      <c r="J66">
        <v>5192.755785</v>
      </c>
      <c r="K66">
        <v>3119.105445</v>
      </c>
      <c r="L66">
        <v>0.600664767331434</v>
      </c>
      <c r="M66">
        <v>4</v>
      </c>
      <c r="N66">
        <v>3</v>
      </c>
      <c r="O66">
        <v>56.900726</v>
      </c>
      <c r="P66">
        <v>42.454955</v>
      </c>
      <c r="Q66">
        <v>-14.445771</v>
      </c>
    </row>
    <row r="67">
      <c r="A67" t="str">
        <v>03</v>
      </c>
      <c r="B67" t="str">
        <v>Santa Fe</v>
      </c>
      <c r="C67">
        <v>2021</v>
      </c>
      <c r="D67">
        <v>4813</v>
      </c>
      <c r="E67" t="str">
        <v>Santa Fe</v>
      </c>
      <c r="F67">
        <v>4181</v>
      </c>
      <c r="G67">
        <v>110770</v>
      </c>
      <c r="H67" t="str">
        <v>Enero-Diciembre</v>
      </c>
      <c r="I67" t="str">
        <v>full_year</v>
      </c>
      <c r="J67">
        <v>4345.039271</v>
      </c>
      <c r="K67">
        <v>3774.487677</v>
      </c>
      <c r="L67">
        <v>0.8686889673800124</v>
      </c>
      <c r="M67">
        <v>11</v>
      </c>
      <c r="N67">
        <v>4</v>
      </c>
      <c r="O67">
        <v>22.749299</v>
      </c>
      <c r="P67">
        <v>29.282622</v>
      </c>
      <c r="Q67">
        <v>6.533323</v>
      </c>
    </row>
    <row r="68">
      <c r="A68" t="str">
        <v>04</v>
      </c>
      <c r="B68" t="str">
        <v>San Cristóbal</v>
      </c>
      <c r="C68">
        <v>2021</v>
      </c>
      <c r="D68">
        <v>3305</v>
      </c>
      <c r="E68" t="str">
        <v>San Cristóbal</v>
      </c>
      <c r="F68">
        <v>6514</v>
      </c>
      <c r="G68">
        <v>394779</v>
      </c>
      <c r="H68" t="str">
        <v>Enero-Diciembre</v>
      </c>
      <c r="I68" t="str">
        <v>full_year</v>
      </c>
      <c r="J68">
        <v>837.177256</v>
      </c>
      <c r="K68">
        <v>1650.037109</v>
      </c>
      <c r="L68">
        <v>1.9709531013615733</v>
      </c>
      <c r="M68">
        <v>15</v>
      </c>
      <c r="N68">
        <v>17</v>
      </c>
      <c r="O68">
        <v>28.799688</v>
      </c>
      <c r="P68">
        <v>21.078067</v>
      </c>
      <c r="Q68">
        <v>-7.721621</v>
      </c>
    </row>
    <row r="69">
      <c r="A69" t="str">
        <v>05</v>
      </c>
      <c r="B69" t="str">
        <v>Usme</v>
      </c>
      <c r="C69">
        <v>2021</v>
      </c>
      <c r="D69">
        <v>2340</v>
      </c>
      <c r="E69" t="str">
        <v>Usme</v>
      </c>
      <c r="F69">
        <v>4710</v>
      </c>
      <c r="G69">
        <v>384340</v>
      </c>
      <c r="H69" t="str">
        <v>Enero-Diciembre</v>
      </c>
      <c r="I69" t="str">
        <v>full_year</v>
      </c>
      <c r="J69">
        <v>608.835927</v>
      </c>
      <c r="K69">
        <v>1225.477442</v>
      </c>
      <c r="L69">
        <v>2.0128205128205128</v>
      </c>
      <c r="M69">
        <v>18</v>
      </c>
      <c r="N69">
        <v>19</v>
      </c>
      <c r="O69">
        <v>24.203822</v>
      </c>
      <c r="P69">
        <v>26.988407</v>
      </c>
      <c r="Q69">
        <v>2.784585</v>
      </c>
    </row>
    <row r="70">
      <c r="A70" t="str">
        <v>06</v>
      </c>
      <c r="B70" t="str">
        <v>Tunjuelito</v>
      </c>
      <c r="C70">
        <v>2021</v>
      </c>
      <c r="D70">
        <v>2426</v>
      </c>
      <c r="E70" t="str">
        <v>Tunjuelito</v>
      </c>
      <c r="F70">
        <v>3278</v>
      </c>
      <c r="G70">
        <v>176572</v>
      </c>
      <c r="H70" t="str">
        <v>Enero-Diciembre</v>
      </c>
      <c r="I70" t="str">
        <v>full_year</v>
      </c>
      <c r="J70">
        <v>1373.943774</v>
      </c>
      <c r="K70">
        <v>1856.466484</v>
      </c>
      <c r="L70">
        <v>1.3511953833470733</v>
      </c>
      <c r="M70">
        <v>17</v>
      </c>
      <c r="N70">
        <v>11</v>
      </c>
      <c r="O70">
        <v>27.349081</v>
      </c>
      <c r="P70">
        <v>23.140496</v>
      </c>
      <c r="Q70">
        <v>-4.208585</v>
      </c>
    </row>
    <row r="71">
      <c r="A71" t="str">
        <v>07</v>
      </c>
      <c r="B71" t="str">
        <v>Bosa</v>
      </c>
      <c r="C71">
        <v>2021</v>
      </c>
      <c r="D71">
        <v>6205</v>
      </c>
      <c r="E71" t="str">
        <v>Bosa</v>
      </c>
      <c r="F71">
        <v>10217</v>
      </c>
      <c r="G71">
        <v>734625</v>
      </c>
      <c r="H71" t="str">
        <v>Enero-Diciembre</v>
      </c>
      <c r="I71" t="str">
        <v>full_year</v>
      </c>
      <c r="J71">
        <v>844.64863</v>
      </c>
      <c r="K71">
        <v>1390.777608</v>
      </c>
      <c r="L71">
        <v>1.6465753424657534</v>
      </c>
      <c r="M71">
        <v>7</v>
      </c>
      <c r="N71">
        <v>16</v>
      </c>
      <c r="O71">
        <v>37.400354</v>
      </c>
      <c r="P71">
        <v>25.856122</v>
      </c>
      <c r="Q71">
        <v>-11.544232</v>
      </c>
    </row>
    <row r="72">
      <c r="A72" t="str">
        <v>08</v>
      </c>
      <c r="B72" t="str">
        <v>Kennedy</v>
      </c>
      <c r="C72">
        <v>2021</v>
      </c>
      <c r="D72">
        <v>11981</v>
      </c>
      <c r="E72" t="str">
        <v>Kennedy</v>
      </c>
      <c r="F72">
        <v>18609</v>
      </c>
      <c r="G72">
        <v>1079757</v>
      </c>
      <c r="H72" t="str">
        <v>Enero-Diciembre</v>
      </c>
      <c r="I72" t="str">
        <v>full_year</v>
      </c>
      <c r="J72">
        <v>1109.601512</v>
      </c>
      <c r="K72">
        <v>1723.44333</v>
      </c>
      <c r="L72">
        <v>1.553209247975962</v>
      </c>
      <c r="M72">
        <v>1</v>
      </c>
      <c r="N72">
        <v>13</v>
      </c>
      <c r="O72">
        <v>25.508066</v>
      </c>
      <c r="P72">
        <v>33.216408</v>
      </c>
      <c r="Q72">
        <v>7.708342</v>
      </c>
    </row>
    <row r="73">
      <c r="A73" t="str">
        <v>09</v>
      </c>
      <c r="B73" t="str">
        <v>Fontibón</v>
      </c>
      <c r="C73">
        <v>2021</v>
      </c>
      <c r="D73">
        <v>7013</v>
      </c>
      <c r="E73" t="str">
        <v>Fontibón</v>
      </c>
      <c r="F73">
        <v>6285</v>
      </c>
      <c r="G73">
        <v>383478</v>
      </c>
      <c r="H73" t="str">
        <v>Enero-Diciembre</v>
      </c>
      <c r="I73" t="str">
        <v>full_year</v>
      </c>
      <c r="J73">
        <v>1828.788092</v>
      </c>
      <c r="K73">
        <v>1638.946693</v>
      </c>
      <c r="L73">
        <v>0.8961927848281762</v>
      </c>
      <c r="M73">
        <v>6</v>
      </c>
      <c r="N73">
        <v>9</v>
      </c>
      <c r="O73">
        <v>32.196041</v>
      </c>
      <c r="P73">
        <v>19.034091</v>
      </c>
      <c r="Q73">
        <v>-13.161951</v>
      </c>
    </row>
    <row r="74">
      <c r="A74" t="str">
        <v>10</v>
      </c>
      <c r="B74" t="str">
        <v>Engativá</v>
      </c>
      <c r="C74">
        <v>2021</v>
      </c>
      <c r="D74">
        <v>11734</v>
      </c>
      <c r="E74" t="str">
        <v>Engativá</v>
      </c>
      <c r="F74">
        <v>16624</v>
      </c>
      <c r="G74">
        <v>827889</v>
      </c>
      <c r="H74" t="str">
        <v>Enero-Diciembre</v>
      </c>
      <c r="I74" t="str">
        <v>full_year</v>
      </c>
      <c r="J74">
        <v>1417.339764</v>
      </c>
      <c r="K74">
        <v>2007.998657</v>
      </c>
      <c r="L74">
        <v>1.4167376853587865</v>
      </c>
      <c r="M74">
        <v>2</v>
      </c>
      <c r="N74">
        <v>10</v>
      </c>
      <c r="O74">
        <v>30.290917</v>
      </c>
      <c r="P74">
        <v>31.518987</v>
      </c>
      <c r="Q74">
        <v>1.22807</v>
      </c>
    </row>
    <row r="75">
      <c r="A75" t="str">
        <v>11</v>
      </c>
      <c r="B75" t="str">
        <v>Suba</v>
      </c>
      <c r="C75">
        <v>2021</v>
      </c>
      <c r="D75">
        <v>10897</v>
      </c>
      <c r="E75" t="str">
        <v>Suba</v>
      </c>
      <c r="F75">
        <v>16254</v>
      </c>
      <c r="G75">
        <v>1225782</v>
      </c>
      <c r="H75" t="str">
        <v>Enero-Diciembre</v>
      </c>
      <c r="I75" t="str">
        <v>full_year</v>
      </c>
      <c r="J75">
        <v>888.983522</v>
      </c>
      <c r="K75">
        <v>1326.010661</v>
      </c>
      <c r="L75">
        <v>1.4916031935395062</v>
      </c>
      <c r="M75">
        <v>3</v>
      </c>
      <c r="N75">
        <v>15</v>
      </c>
      <c r="O75">
        <v>23.576775</v>
      </c>
      <c r="P75">
        <v>24.010071</v>
      </c>
      <c r="Q75">
        <v>0.433296</v>
      </c>
    </row>
    <row r="76">
      <c r="A76" t="str">
        <v>12</v>
      </c>
      <c r="B76" t="str">
        <v>Barrios Unidos</v>
      </c>
      <c r="C76">
        <v>2021</v>
      </c>
      <c r="D76">
        <v>4264</v>
      </c>
      <c r="E76" t="str">
        <v>Barrios Unidos</v>
      </c>
      <c r="F76">
        <v>5019</v>
      </c>
      <c r="G76">
        <v>136620</v>
      </c>
      <c r="H76" t="str">
        <v>Enero-Diciembre</v>
      </c>
      <c r="I76" t="str">
        <v>full_year</v>
      </c>
      <c r="J76">
        <v>3121.06573</v>
      </c>
      <c r="K76">
        <v>3673.693456</v>
      </c>
      <c r="L76">
        <v>1.177063789868668</v>
      </c>
      <c r="M76">
        <v>13</v>
      </c>
      <c r="N76">
        <v>6</v>
      </c>
      <c r="O76">
        <v>30.039646</v>
      </c>
      <c r="P76">
        <v>33.84</v>
      </c>
      <c r="Q76">
        <v>3.800354</v>
      </c>
    </row>
    <row r="77">
      <c r="A77" t="str">
        <v>13</v>
      </c>
      <c r="B77" t="str">
        <v>Teusaquillo</v>
      </c>
      <c r="C77">
        <v>2021</v>
      </c>
      <c r="D77">
        <v>5296</v>
      </c>
      <c r="E77" t="str">
        <v>Teusaquillo</v>
      </c>
      <c r="F77">
        <v>5142</v>
      </c>
      <c r="G77">
        <v>153033</v>
      </c>
      <c r="H77" t="str">
        <v>Enero-Diciembre</v>
      </c>
      <c r="I77" t="str">
        <v>full_year</v>
      </c>
      <c r="J77">
        <v>3460.691485</v>
      </c>
      <c r="K77">
        <v>3360.059595</v>
      </c>
      <c r="L77">
        <v>0.9709214501510574</v>
      </c>
      <c r="M77">
        <v>9</v>
      </c>
      <c r="N77">
        <v>5</v>
      </c>
      <c r="O77">
        <v>34.723989</v>
      </c>
      <c r="P77">
        <v>36.211921</v>
      </c>
      <c r="Q77">
        <v>1.487932</v>
      </c>
    </row>
    <row r="78">
      <c r="A78" t="str">
        <v>14</v>
      </c>
      <c r="B78" t="str">
        <v>Los Mártires</v>
      </c>
      <c r="C78">
        <v>2021</v>
      </c>
      <c r="D78">
        <v>4364</v>
      </c>
      <c r="E78" t="str">
        <v>Los Mártires</v>
      </c>
      <c r="F78">
        <v>4655</v>
      </c>
      <c r="G78">
        <v>75149</v>
      </c>
      <c r="H78" t="str">
        <v>Enero-Diciembre</v>
      </c>
      <c r="I78" t="str">
        <v>full_year</v>
      </c>
      <c r="J78">
        <v>5807.129835</v>
      </c>
      <c r="K78">
        <v>6194.360537</v>
      </c>
      <c r="L78">
        <v>1.0666819431714023</v>
      </c>
      <c r="M78">
        <v>12</v>
      </c>
      <c r="N78">
        <v>1</v>
      </c>
      <c r="O78">
        <v>29.803688</v>
      </c>
      <c r="P78">
        <v>22.726074</v>
      </c>
      <c r="Q78">
        <v>-7.077614</v>
      </c>
    </row>
    <row r="79">
      <c r="A79" t="str">
        <v>15</v>
      </c>
      <c r="B79" t="str">
        <v>Antonio Nariño</v>
      </c>
      <c r="C79">
        <v>2021</v>
      </c>
      <c r="D79">
        <v>2482</v>
      </c>
      <c r="E79" t="str">
        <v>Antonio Nariño</v>
      </c>
      <c r="F79">
        <v>3201</v>
      </c>
      <c r="G79">
        <v>79768</v>
      </c>
      <c r="H79" t="str">
        <v>Enero-Diciembre</v>
      </c>
      <c r="I79" t="str">
        <v>full_year</v>
      </c>
      <c r="J79">
        <v>3111.523418</v>
      </c>
      <c r="K79">
        <v>4012.887373</v>
      </c>
      <c r="L79">
        <v>1.2896857373086221</v>
      </c>
      <c r="M79">
        <v>16</v>
      </c>
      <c r="N79">
        <v>7</v>
      </c>
      <c r="O79">
        <v>30.015715</v>
      </c>
      <c r="P79">
        <v>22.54977</v>
      </c>
      <c r="Q79">
        <v>-7.465945</v>
      </c>
    </row>
    <row r="80">
      <c r="A80" t="str">
        <v>16</v>
      </c>
      <c r="B80" t="str">
        <v>Puente Aranda</v>
      </c>
      <c r="C80">
        <v>2021</v>
      </c>
      <c r="D80">
        <v>5468</v>
      </c>
      <c r="E80" t="str">
        <v>Puente Aranda</v>
      </c>
      <c r="F80">
        <v>6820</v>
      </c>
      <c r="G80">
        <v>249985</v>
      </c>
      <c r="H80" t="str">
        <v>Enero-Diciembre</v>
      </c>
      <c r="I80" t="str">
        <v>full_year</v>
      </c>
      <c r="J80">
        <v>2187.33124</v>
      </c>
      <c r="K80">
        <v>2728.16369</v>
      </c>
      <c r="L80">
        <v>1.2472567666422825</v>
      </c>
      <c r="M80">
        <v>8</v>
      </c>
      <c r="N80">
        <v>8</v>
      </c>
      <c r="O80">
        <v>28.447263</v>
      </c>
      <c r="P80">
        <v>23.416576</v>
      </c>
      <c r="Q80">
        <v>-5.030687</v>
      </c>
    </row>
    <row r="81">
      <c r="A81" t="str">
        <v>17</v>
      </c>
      <c r="B81" t="str">
        <v>La Candelaria</v>
      </c>
      <c r="C81">
        <v>2021</v>
      </c>
      <c r="D81">
        <v>973</v>
      </c>
      <c r="E81" t="str">
        <v>La Candelaria</v>
      </c>
      <c r="F81">
        <v>502</v>
      </c>
      <c r="G81">
        <v>17061</v>
      </c>
      <c r="H81" t="str">
        <v>Enero-Diciembre</v>
      </c>
      <c r="I81" t="str">
        <v>full_year</v>
      </c>
      <c r="J81">
        <v>5703.065471</v>
      </c>
      <c r="K81">
        <v>2942.383213</v>
      </c>
      <c r="L81">
        <v>0.5159301130524152</v>
      </c>
      <c r="M81">
        <v>19</v>
      </c>
      <c r="N81">
        <v>2</v>
      </c>
      <c r="O81">
        <v>24.583867</v>
      </c>
      <c r="P81">
        <v>-1.761252</v>
      </c>
      <c r="Q81">
        <v>-26.345119</v>
      </c>
    </row>
    <row r="82">
      <c r="A82" t="str">
        <v>18</v>
      </c>
      <c r="B82" t="str">
        <v>Rafael Uribe Uribe</v>
      </c>
      <c r="C82">
        <v>2021</v>
      </c>
      <c r="D82">
        <v>4020</v>
      </c>
      <c r="E82" t="str">
        <v>Rafael Uribe Uribe</v>
      </c>
      <c r="F82">
        <v>6749</v>
      </c>
      <c r="G82">
        <v>376325</v>
      </c>
      <c r="H82" t="str">
        <v>Enero-Diciembre</v>
      </c>
      <c r="I82" t="str">
        <v>full_year</v>
      </c>
      <c r="J82">
        <v>1068.225603</v>
      </c>
      <c r="K82">
        <v>1793.396665</v>
      </c>
      <c r="L82">
        <v>1.6788557213930348</v>
      </c>
      <c r="M82">
        <v>14</v>
      </c>
      <c r="N82">
        <v>14</v>
      </c>
      <c r="O82">
        <v>34.448161</v>
      </c>
      <c r="P82">
        <v>23.994121</v>
      </c>
      <c r="Q82">
        <v>-10.45404</v>
      </c>
    </row>
    <row r="83">
      <c r="A83" t="str">
        <v>19</v>
      </c>
      <c r="B83" t="str">
        <v>Ciudad Bolívar</v>
      </c>
      <c r="C83">
        <v>2021</v>
      </c>
      <c r="D83">
        <v>5000</v>
      </c>
      <c r="E83" t="str">
        <v>Ciudad Bolívar</v>
      </c>
      <c r="F83">
        <v>9466</v>
      </c>
      <c r="G83">
        <v>653362</v>
      </c>
      <c r="H83" t="str">
        <v>Enero-Diciembre</v>
      </c>
      <c r="I83" t="str">
        <v>full_year</v>
      </c>
      <c r="J83">
        <v>765.272544</v>
      </c>
      <c r="K83">
        <v>1448.813981</v>
      </c>
      <c r="L83">
        <v>1.8932</v>
      </c>
      <c r="M83">
        <v>10</v>
      </c>
      <c r="N83">
        <v>18</v>
      </c>
      <c r="O83">
        <v>37.627305</v>
      </c>
      <c r="P83">
        <v>32.317585</v>
      </c>
      <c r="Q83">
        <v>-5.309721</v>
      </c>
    </row>
    <row r="84">
      <c r="A84" t="str">
        <v>20</v>
      </c>
      <c r="B84" t="str">
        <v>Sumapaz</v>
      </c>
      <c r="C84">
        <v>2021</v>
      </c>
      <c r="D84">
        <v>1</v>
      </c>
      <c r="E84" t="str">
        <v>Sumapaz</v>
      </c>
      <c r="F84">
        <v>9</v>
      </c>
      <c r="G84">
        <v>3242</v>
      </c>
      <c r="H84" t="str">
        <v>Enero-Diciembre</v>
      </c>
      <c r="I84" t="str">
        <v>full_year</v>
      </c>
      <c r="J84">
        <v>30.845157</v>
      </c>
      <c r="K84">
        <v>277.606416</v>
      </c>
      <c r="L84">
        <v>9</v>
      </c>
      <c r="M84">
        <v>20</v>
      </c>
      <c r="N84">
        <v>20</v>
      </c>
      <c r="O84">
        <v>-50</v>
      </c>
      <c r="P84" t="str">
        <v>inf</v>
      </c>
      <c r="Q84" t="str">
        <v>inf</v>
      </c>
    </row>
    <row r="85">
      <c r="A85" t="str">
        <v>01</v>
      </c>
      <c r="B85" t="str">
        <v>Usaquén</v>
      </c>
      <c r="C85">
        <v>2022</v>
      </c>
      <c r="D85">
        <v>9314</v>
      </c>
      <c r="E85" t="str">
        <v>Usaquén</v>
      </c>
      <c r="F85">
        <v>8627</v>
      </c>
      <c r="G85">
        <v>583301</v>
      </c>
      <c r="H85" t="str">
        <v>Enero-Diciembre</v>
      </c>
      <c r="I85" t="str">
        <v>full_year</v>
      </c>
      <c r="J85">
        <v>1596.774221</v>
      </c>
      <c r="K85">
        <v>1478.996264</v>
      </c>
      <c r="L85">
        <v>0.9262400687137642</v>
      </c>
      <c r="M85">
        <v>5</v>
      </c>
      <c r="N85">
        <v>11</v>
      </c>
      <c r="O85">
        <v>20.429273</v>
      </c>
      <c r="P85">
        <v>2.17932</v>
      </c>
      <c r="Q85">
        <v>-18.249953</v>
      </c>
    </row>
    <row r="86">
      <c r="A86" t="str">
        <v>02</v>
      </c>
      <c r="B86" t="str">
        <v>Chapinero</v>
      </c>
      <c r="C86">
        <v>2022</v>
      </c>
      <c r="D86">
        <v>11994</v>
      </c>
      <c r="E86" t="str">
        <v>Chapinero</v>
      </c>
      <c r="F86">
        <v>5970</v>
      </c>
      <c r="G86">
        <v>162213</v>
      </c>
      <c r="H86" t="str">
        <v>Enero-Diciembre</v>
      </c>
      <c r="I86" t="str">
        <v>full_year</v>
      </c>
      <c r="J86">
        <v>7393.981987</v>
      </c>
      <c r="K86">
        <v>3680.346211</v>
      </c>
      <c r="L86">
        <v>0.4977488744372186</v>
      </c>
      <c r="M86">
        <v>4</v>
      </c>
      <c r="N86">
        <v>3</v>
      </c>
      <c r="O86">
        <v>42.378917</v>
      </c>
      <c r="P86">
        <v>17.98419</v>
      </c>
      <c r="Q86">
        <v>-24.394728</v>
      </c>
    </row>
    <row r="87">
      <c r="A87" t="str">
        <v>03</v>
      </c>
      <c r="B87" t="str">
        <v>Santa Fe</v>
      </c>
      <c r="C87">
        <v>2022</v>
      </c>
      <c r="D87">
        <v>7639</v>
      </c>
      <c r="E87" t="str">
        <v>Santa Fe</v>
      </c>
      <c r="F87">
        <v>4547</v>
      </c>
      <c r="G87">
        <v>111651</v>
      </c>
      <c r="H87" t="str">
        <v>Enero-Diciembre</v>
      </c>
      <c r="I87" t="str">
        <v>full_year</v>
      </c>
      <c r="J87">
        <v>6841.855424</v>
      </c>
      <c r="K87">
        <v>4072.511666</v>
      </c>
      <c r="L87">
        <v>0.5952349784003141</v>
      </c>
      <c r="M87">
        <v>8</v>
      </c>
      <c r="N87">
        <v>4</v>
      </c>
      <c r="O87">
        <v>58.715978</v>
      </c>
      <c r="P87">
        <v>8.753887</v>
      </c>
      <c r="Q87">
        <v>-49.962091</v>
      </c>
    </row>
    <row r="88">
      <c r="A88" t="str">
        <v>04</v>
      </c>
      <c r="B88" t="str">
        <v>San Cristóbal</v>
      </c>
      <c r="C88">
        <v>2022</v>
      </c>
      <c r="D88">
        <v>3671</v>
      </c>
      <c r="E88" t="str">
        <v>San Cristóbal</v>
      </c>
      <c r="F88">
        <v>6218</v>
      </c>
      <c r="G88">
        <v>394613</v>
      </c>
      <c r="H88" t="str">
        <v>Enero-Diciembre</v>
      </c>
      <c r="I88" t="str">
        <v>full_year</v>
      </c>
      <c r="J88">
        <v>930.278526</v>
      </c>
      <c r="K88">
        <v>1575.721023</v>
      </c>
      <c r="L88">
        <v>1.6938163988014165</v>
      </c>
      <c r="M88">
        <v>15</v>
      </c>
      <c r="N88">
        <v>16</v>
      </c>
      <c r="O88">
        <v>11.07413</v>
      </c>
      <c r="P88">
        <v>-4.544059</v>
      </c>
      <c r="Q88">
        <v>-15.618189</v>
      </c>
    </row>
    <row r="89">
      <c r="A89" t="str">
        <v>05</v>
      </c>
      <c r="B89" t="str">
        <v>Usme</v>
      </c>
      <c r="C89">
        <v>2022</v>
      </c>
      <c r="D89">
        <v>3027</v>
      </c>
      <c r="E89" t="str">
        <v>Usme</v>
      </c>
      <c r="F89">
        <v>4325</v>
      </c>
      <c r="G89">
        <v>388197</v>
      </c>
      <c r="H89" t="str">
        <v>Enero-Diciembre</v>
      </c>
      <c r="I89" t="str">
        <v>full_year</v>
      </c>
      <c r="J89">
        <v>779.758731</v>
      </c>
      <c r="K89">
        <v>1114.125045</v>
      </c>
      <c r="L89">
        <v>1.428807400066072</v>
      </c>
      <c r="M89">
        <v>16</v>
      </c>
      <c r="N89">
        <v>19</v>
      </c>
      <c r="O89">
        <v>29.358974</v>
      </c>
      <c r="P89">
        <v>-8.174098</v>
      </c>
      <c r="Q89">
        <v>-37.533072</v>
      </c>
    </row>
    <row r="90">
      <c r="A90" t="str">
        <v>06</v>
      </c>
      <c r="B90" t="str">
        <v>Tunjuelito</v>
      </c>
      <c r="C90">
        <v>2022</v>
      </c>
      <c r="D90">
        <v>2766</v>
      </c>
      <c r="E90" t="str">
        <v>Tunjuelito</v>
      </c>
      <c r="F90">
        <v>2871</v>
      </c>
      <c r="G90">
        <v>176288</v>
      </c>
      <c r="H90" t="str">
        <v>Enero-Diciembre</v>
      </c>
      <c r="I90" t="str">
        <v>full_year</v>
      </c>
      <c r="J90">
        <v>1569.023416</v>
      </c>
      <c r="K90">
        <v>1628.585043</v>
      </c>
      <c r="L90">
        <v>1.0379609544468547</v>
      </c>
      <c r="M90">
        <v>17</v>
      </c>
      <c r="N90">
        <v>12</v>
      </c>
      <c r="O90">
        <v>14.014839</v>
      </c>
      <c r="P90">
        <v>-12.416107</v>
      </c>
      <c r="Q90">
        <v>-26.430947</v>
      </c>
    </row>
    <row r="91">
      <c r="A91" t="str">
        <v>07</v>
      </c>
      <c r="B91" t="str">
        <v>Bosa</v>
      </c>
      <c r="C91">
        <v>2022</v>
      </c>
      <c r="D91">
        <v>6824</v>
      </c>
      <c r="E91" t="str">
        <v>Bosa</v>
      </c>
      <c r="F91">
        <v>9168</v>
      </c>
      <c r="G91">
        <v>743862</v>
      </c>
      <c r="H91" t="str">
        <v>Enero-Diciembre</v>
      </c>
      <c r="I91" t="str">
        <v>full_year</v>
      </c>
      <c r="J91">
        <v>917.374459</v>
      </c>
      <c r="K91">
        <v>1232.486671</v>
      </c>
      <c r="L91">
        <v>1.343493552168816</v>
      </c>
      <c r="M91">
        <v>9</v>
      </c>
      <c r="N91">
        <v>17</v>
      </c>
      <c r="O91">
        <v>9.975826</v>
      </c>
      <c r="P91">
        <v>-10.267202</v>
      </c>
      <c r="Q91">
        <v>-20.243028</v>
      </c>
    </row>
    <row r="92">
      <c r="A92" t="str">
        <v>08</v>
      </c>
      <c r="B92" t="str">
        <v>Kennedy</v>
      </c>
      <c r="C92">
        <v>2022</v>
      </c>
      <c r="D92">
        <v>14539</v>
      </c>
      <c r="E92" t="str">
        <v>Kennedy</v>
      </c>
      <c r="F92">
        <v>17121</v>
      </c>
      <c r="G92">
        <v>1087567</v>
      </c>
      <c r="H92" t="str">
        <v>Enero-Diciembre</v>
      </c>
      <c r="I92" t="str">
        <v>full_year</v>
      </c>
      <c r="J92">
        <v>1336.837179</v>
      </c>
      <c r="K92">
        <v>1574.247839</v>
      </c>
      <c r="L92">
        <v>1.1775913061421006</v>
      </c>
      <c r="M92">
        <v>2</v>
      </c>
      <c r="N92">
        <v>13</v>
      </c>
      <c r="O92">
        <v>21.350472</v>
      </c>
      <c r="P92">
        <v>-7.996131</v>
      </c>
      <c r="Q92">
        <v>-29.346602</v>
      </c>
    </row>
    <row r="93">
      <c r="A93" t="str">
        <v>09</v>
      </c>
      <c r="B93" t="str">
        <v>Fontibón</v>
      </c>
      <c r="C93">
        <v>2022</v>
      </c>
      <c r="D93">
        <v>9190</v>
      </c>
      <c r="E93" t="str">
        <v>Fontibón</v>
      </c>
      <c r="F93">
        <v>6798</v>
      </c>
      <c r="G93">
        <v>384590</v>
      </c>
      <c r="H93" t="str">
        <v>Enero-Diciembre</v>
      </c>
      <c r="I93" t="str">
        <v>full_year</v>
      </c>
      <c r="J93">
        <v>2389.557711</v>
      </c>
      <c r="K93">
        <v>1767.596661</v>
      </c>
      <c r="L93">
        <v>0.7397170837867247</v>
      </c>
      <c r="M93">
        <v>6</v>
      </c>
      <c r="N93">
        <v>9</v>
      </c>
      <c r="O93">
        <v>31.04235</v>
      </c>
      <c r="P93">
        <v>8.162291</v>
      </c>
      <c r="Q93">
        <v>-22.880059</v>
      </c>
    </row>
    <row r="94">
      <c r="A94" t="str">
        <v>10</v>
      </c>
      <c r="B94" t="str">
        <v>Engativá</v>
      </c>
      <c r="C94">
        <v>2022</v>
      </c>
      <c r="D94">
        <v>13702</v>
      </c>
      <c r="E94" t="str">
        <v>Engativá</v>
      </c>
      <c r="F94">
        <v>15776</v>
      </c>
      <c r="G94">
        <v>829701</v>
      </c>
      <c r="H94" t="str">
        <v>Enero-Diciembre</v>
      </c>
      <c r="I94" t="str">
        <v>full_year</v>
      </c>
      <c r="J94">
        <v>1651.438289</v>
      </c>
      <c r="K94">
        <v>1901.407857</v>
      </c>
      <c r="L94">
        <v>1.15136476426799</v>
      </c>
      <c r="M94">
        <v>3</v>
      </c>
      <c r="N94">
        <v>10</v>
      </c>
      <c r="O94">
        <v>16.771774</v>
      </c>
      <c r="P94">
        <v>-5.101059</v>
      </c>
      <c r="Q94">
        <v>-21.872833</v>
      </c>
    </row>
    <row r="95">
      <c r="A95" t="str">
        <v>11</v>
      </c>
      <c r="B95" t="str">
        <v>Suba</v>
      </c>
      <c r="C95">
        <v>2022</v>
      </c>
      <c r="D95">
        <v>14544</v>
      </c>
      <c r="E95" t="str">
        <v>Suba</v>
      </c>
      <c r="F95">
        <v>16631</v>
      </c>
      <c r="G95">
        <v>1234678</v>
      </c>
      <c r="H95" t="str">
        <v>Enero-Diciembre</v>
      </c>
      <c r="I95" t="str">
        <v>full_year</v>
      </c>
      <c r="J95">
        <v>1177.95895</v>
      </c>
      <c r="K95">
        <v>1346.990875</v>
      </c>
      <c r="L95">
        <v>1.143495599559956</v>
      </c>
      <c r="M95">
        <v>1</v>
      </c>
      <c r="N95">
        <v>15</v>
      </c>
      <c r="O95">
        <v>33.467927</v>
      </c>
      <c r="P95">
        <v>2.319429</v>
      </c>
      <c r="Q95">
        <v>-31.148498</v>
      </c>
    </row>
    <row r="96">
      <c r="A96" t="str">
        <v>12</v>
      </c>
      <c r="B96" t="str">
        <v>Barrios Unidos</v>
      </c>
      <c r="C96">
        <v>2022</v>
      </c>
      <c r="D96">
        <v>5402</v>
      </c>
      <c r="E96" t="str">
        <v>Barrios Unidos</v>
      </c>
      <c r="F96">
        <v>4848</v>
      </c>
      <c r="G96">
        <v>136347</v>
      </c>
      <c r="H96" t="str">
        <v>Enero-Diciembre</v>
      </c>
      <c r="I96" t="str">
        <v>full_year</v>
      </c>
      <c r="J96">
        <v>3961.950025</v>
      </c>
      <c r="K96">
        <v>3555.633787</v>
      </c>
      <c r="L96">
        <v>0.8974453905960755</v>
      </c>
      <c r="M96">
        <v>13</v>
      </c>
      <c r="N96">
        <v>6</v>
      </c>
      <c r="O96">
        <v>26.688555</v>
      </c>
      <c r="P96">
        <v>-3.407053</v>
      </c>
      <c r="Q96">
        <v>-30.095609</v>
      </c>
    </row>
    <row r="97">
      <c r="A97" t="str">
        <v>13</v>
      </c>
      <c r="B97" t="str">
        <v>Teusaquillo</v>
      </c>
      <c r="C97">
        <v>2022</v>
      </c>
      <c r="D97">
        <v>7959</v>
      </c>
      <c r="E97" t="str">
        <v>Teusaquillo</v>
      </c>
      <c r="F97">
        <v>5658</v>
      </c>
      <c r="G97">
        <v>153970</v>
      </c>
      <c r="H97" t="str">
        <v>Enero-Diciembre</v>
      </c>
      <c r="I97" t="str">
        <v>full_year</v>
      </c>
      <c r="J97">
        <v>5169.188803</v>
      </c>
      <c r="K97">
        <v>3674.741833</v>
      </c>
      <c r="L97">
        <v>0.7108933283075763</v>
      </c>
      <c r="M97">
        <v>7</v>
      </c>
      <c r="N97">
        <v>5</v>
      </c>
      <c r="O97">
        <v>50.283233</v>
      </c>
      <c r="P97">
        <v>10.035006</v>
      </c>
      <c r="Q97">
        <v>-40.248227</v>
      </c>
    </row>
    <row r="98">
      <c r="A98" t="str">
        <v>14</v>
      </c>
      <c r="B98" t="str">
        <v>Los Mártires</v>
      </c>
      <c r="C98">
        <v>2022</v>
      </c>
      <c r="D98">
        <v>5721</v>
      </c>
      <c r="E98" t="str">
        <v>Los Mártires</v>
      </c>
      <c r="F98">
        <v>4569</v>
      </c>
      <c r="G98">
        <v>75198</v>
      </c>
      <c r="H98" t="str">
        <v>Enero-Diciembre</v>
      </c>
      <c r="I98" t="str">
        <v>full_year</v>
      </c>
      <c r="J98">
        <v>7607.915104</v>
      </c>
      <c r="K98">
        <v>6075.959467</v>
      </c>
      <c r="L98">
        <v>0.7986366019926586</v>
      </c>
      <c r="M98">
        <v>11</v>
      </c>
      <c r="N98">
        <v>2</v>
      </c>
      <c r="O98">
        <v>31.095325</v>
      </c>
      <c r="P98">
        <v>-1.847476</v>
      </c>
      <c r="Q98">
        <v>-32.942801</v>
      </c>
    </row>
    <row r="99">
      <c r="A99" t="str">
        <v>15</v>
      </c>
      <c r="B99" t="str">
        <v>Antonio Nariño</v>
      </c>
      <c r="C99">
        <v>2022</v>
      </c>
      <c r="D99">
        <v>2744</v>
      </c>
      <c r="E99" t="str">
        <v>Antonio Nariño</v>
      </c>
      <c r="F99">
        <v>3248</v>
      </c>
      <c r="G99">
        <v>79160</v>
      </c>
      <c r="H99" t="str">
        <v>Enero-Diciembre</v>
      </c>
      <c r="I99" t="str">
        <v>full_year</v>
      </c>
      <c r="J99">
        <v>3466.39717</v>
      </c>
      <c r="K99">
        <v>4103.082365</v>
      </c>
      <c r="L99">
        <v>1.183673469387755</v>
      </c>
      <c r="M99">
        <v>18</v>
      </c>
      <c r="N99">
        <v>7</v>
      </c>
      <c r="O99">
        <v>10.556003</v>
      </c>
      <c r="P99">
        <v>1.468291</v>
      </c>
      <c r="Q99">
        <v>-9.087712</v>
      </c>
    </row>
    <row r="100">
      <c r="A100" t="str">
        <v>16</v>
      </c>
      <c r="B100" t="str">
        <v>Puente Aranda</v>
      </c>
      <c r="C100">
        <v>2022</v>
      </c>
      <c r="D100">
        <v>6691</v>
      </c>
      <c r="E100" t="str">
        <v>Puente Aranda</v>
      </c>
      <c r="F100">
        <v>6689</v>
      </c>
      <c r="G100">
        <v>249893</v>
      </c>
      <c r="H100" t="str">
        <v>Enero-Diciembre</v>
      </c>
      <c r="I100" t="str">
        <v>full_year</v>
      </c>
      <c r="J100">
        <v>2677.54599</v>
      </c>
      <c r="K100">
        <v>2676.745647</v>
      </c>
      <c r="L100">
        <v>0.999701091017785</v>
      </c>
      <c r="M100">
        <v>10</v>
      </c>
      <c r="N100">
        <v>8</v>
      </c>
      <c r="O100">
        <v>22.366496</v>
      </c>
      <c r="P100">
        <v>-1.920821</v>
      </c>
      <c r="Q100">
        <v>-24.287317</v>
      </c>
    </row>
    <row r="101">
      <c r="A101" t="str">
        <v>17</v>
      </c>
      <c r="B101" t="str">
        <v>La Candelaria</v>
      </c>
      <c r="C101">
        <v>2022</v>
      </c>
      <c r="D101">
        <v>1327</v>
      </c>
      <c r="E101" t="str">
        <v>La Candelaria</v>
      </c>
      <c r="F101">
        <v>706</v>
      </c>
      <c r="G101">
        <v>16916</v>
      </c>
      <c r="H101" t="str">
        <v>Enero-Diciembre</v>
      </c>
      <c r="I101" t="str">
        <v>full_year</v>
      </c>
      <c r="J101">
        <v>7844.644124</v>
      </c>
      <c r="K101">
        <v>4173.56349</v>
      </c>
      <c r="L101">
        <v>0.5320271288620949</v>
      </c>
      <c r="M101">
        <v>19</v>
      </c>
      <c r="N101">
        <v>1</v>
      </c>
      <c r="O101">
        <v>36.382323</v>
      </c>
      <c r="P101">
        <v>40.63745</v>
      </c>
      <c r="Q101">
        <v>4.255127</v>
      </c>
    </row>
    <row r="102">
      <c r="A102" t="str">
        <v>18</v>
      </c>
      <c r="B102" t="str">
        <v>Rafael Uribe Uribe</v>
      </c>
      <c r="C102">
        <v>2022</v>
      </c>
      <c r="D102">
        <v>4488</v>
      </c>
      <c r="E102" t="str">
        <v>Rafael Uribe Uribe</v>
      </c>
      <c r="F102">
        <v>5842</v>
      </c>
      <c r="G102">
        <v>376138</v>
      </c>
      <c r="H102" t="str">
        <v>Enero-Diciembre</v>
      </c>
      <c r="I102" t="str">
        <v>full_year</v>
      </c>
      <c r="J102">
        <v>1193.179099</v>
      </c>
      <c r="K102">
        <v>1553.153364</v>
      </c>
      <c r="L102">
        <v>1.3016934046345812</v>
      </c>
      <c r="M102">
        <v>14</v>
      </c>
      <c r="N102">
        <v>14</v>
      </c>
      <c r="O102">
        <v>11.641791</v>
      </c>
      <c r="P102">
        <v>-13.439028</v>
      </c>
      <c r="Q102">
        <v>-25.080819</v>
      </c>
    </row>
    <row r="103">
      <c r="A103" t="str">
        <v>19</v>
      </c>
      <c r="B103" t="str">
        <v>Ciudad Bolívar</v>
      </c>
      <c r="C103">
        <v>2022</v>
      </c>
      <c r="D103">
        <v>5576</v>
      </c>
      <c r="E103" t="str">
        <v>Ciudad Bolívar</v>
      </c>
      <c r="F103">
        <v>8768</v>
      </c>
      <c r="G103">
        <v>661661</v>
      </c>
      <c r="H103" t="str">
        <v>Enero-Diciembre</v>
      </c>
      <c r="I103" t="str">
        <v>full_year</v>
      </c>
      <c r="J103">
        <v>842.72762</v>
      </c>
      <c r="K103">
        <v>1325.149888</v>
      </c>
      <c r="L103">
        <v>1.5724533715925395</v>
      </c>
      <c r="M103">
        <v>12</v>
      </c>
      <c r="N103">
        <v>18</v>
      </c>
      <c r="O103">
        <v>11.52</v>
      </c>
      <c r="P103">
        <v>-7.373759</v>
      </c>
      <c r="Q103">
        <v>-18.893759</v>
      </c>
    </row>
    <row r="104">
      <c r="A104" t="str">
        <v>20</v>
      </c>
      <c r="B104" t="str">
        <v>Sumapaz</v>
      </c>
      <c r="C104">
        <v>2022</v>
      </c>
      <c r="D104">
        <v>0</v>
      </c>
      <c r="E104" t="str">
        <v>Sumapaz</v>
      </c>
      <c r="F104">
        <v>8</v>
      </c>
      <c r="G104">
        <v>3262</v>
      </c>
      <c r="H104" t="str">
        <v>Enero-Diciembre</v>
      </c>
      <c r="I104" t="str">
        <v>full_year</v>
      </c>
      <c r="J104">
        <v>0</v>
      </c>
      <c r="K104">
        <v>245.248314</v>
      </c>
      <c r="M104">
        <v>20</v>
      </c>
      <c r="N104">
        <v>20</v>
      </c>
      <c r="O104">
        <v>-100</v>
      </c>
      <c r="P104">
        <v>-11.111111</v>
      </c>
      <c r="Q104">
        <v>88.888889</v>
      </c>
    </row>
    <row r="105">
      <c r="A105" t="str">
        <v>01</v>
      </c>
      <c r="B105" t="str">
        <v>Usaquén</v>
      </c>
      <c r="C105">
        <v>2023</v>
      </c>
      <c r="D105">
        <v>8643</v>
      </c>
      <c r="E105" t="str">
        <v>Usaquén</v>
      </c>
      <c r="F105">
        <v>9015</v>
      </c>
      <c r="G105">
        <v>585076</v>
      </c>
      <c r="H105" t="str">
        <v>Enero-Diciembre</v>
      </c>
      <c r="I105" t="str">
        <v>full_year</v>
      </c>
      <c r="J105">
        <v>1477.243982</v>
      </c>
      <c r="K105">
        <v>1540.825465</v>
      </c>
      <c r="L105">
        <v>1.0430406108989934</v>
      </c>
      <c r="M105">
        <v>9</v>
      </c>
      <c r="N105">
        <v>12</v>
      </c>
      <c r="O105">
        <v>-7.204209</v>
      </c>
      <c r="P105">
        <v>4.497508</v>
      </c>
      <c r="Q105">
        <v>11.701717</v>
      </c>
    </row>
    <row r="106">
      <c r="A106" t="str">
        <v>02</v>
      </c>
      <c r="B106" t="str">
        <v>Chapinero</v>
      </c>
      <c r="C106">
        <v>2023</v>
      </c>
      <c r="D106">
        <v>14976</v>
      </c>
      <c r="E106" t="str">
        <v>Chapinero</v>
      </c>
      <c r="F106">
        <v>6096</v>
      </c>
      <c r="G106">
        <v>162013</v>
      </c>
      <c r="H106" t="str">
        <v>Enero-Diciembre</v>
      </c>
      <c r="I106" t="str">
        <v>full_year</v>
      </c>
      <c r="J106">
        <v>9243.702666</v>
      </c>
      <c r="K106">
        <v>3762.661021</v>
      </c>
      <c r="L106">
        <v>0.40705128205128205</v>
      </c>
      <c r="M106">
        <v>4</v>
      </c>
      <c r="N106">
        <v>2</v>
      </c>
      <c r="O106">
        <v>24.862431</v>
      </c>
      <c r="P106">
        <v>2.110553</v>
      </c>
      <c r="Q106">
        <v>-22.751878</v>
      </c>
    </row>
    <row r="107">
      <c r="A107" t="str">
        <v>03</v>
      </c>
      <c r="B107" t="str">
        <v>Santa Fe</v>
      </c>
      <c r="C107">
        <v>2023</v>
      </c>
      <c r="D107">
        <v>8792</v>
      </c>
      <c r="E107" t="str">
        <v>Santa Fe</v>
      </c>
      <c r="F107">
        <v>4596</v>
      </c>
      <c r="G107">
        <v>112336</v>
      </c>
      <c r="H107" t="str">
        <v>Enero-Diciembre</v>
      </c>
      <c r="I107" t="str">
        <v>full_year</v>
      </c>
      <c r="J107">
        <v>7826.520439</v>
      </c>
      <c r="K107">
        <v>4091.297536</v>
      </c>
      <c r="L107">
        <v>0.5227479526842584</v>
      </c>
      <c r="M107">
        <v>8</v>
      </c>
      <c r="N107">
        <v>3</v>
      </c>
      <c r="O107">
        <v>15.093599</v>
      </c>
      <c r="P107">
        <v>1.077634</v>
      </c>
      <c r="Q107">
        <v>-14.015965</v>
      </c>
    </row>
    <row r="108">
      <c r="A108" t="str">
        <v>04</v>
      </c>
      <c r="B108" t="str">
        <v>San Cristóbal</v>
      </c>
      <c r="C108">
        <v>2023</v>
      </c>
      <c r="D108">
        <v>3917</v>
      </c>
      <c r="E108" t="str">
        <v>San Cristóbal</v>
      </c>
      <c r="F108">
        <v>7040</v>
      </c>
      <c r="G108">
        <v>394434</v>
      </c>
      <c r="H108" t="str">
        <v>Enero-Diciembre</v>
      </c>
      <c r="I108" t="str">
        <v>full_year</v>
      </c>
      <c r="J108">
        <v>993.068549</v>
      </c>
      <c r="K108">
        <v>1784.835993</v>
      </c>
      <c r="L108">
        <v>1.797293847332142</v>
      </c>
      <c r="M108">
        <v>15</v>
      </c>
      <c r="N108">
        <v>16</v>
      </c>
      <c r="O108">
        <v>6.701171</v>
      </c>
      <c r="P108">
        <v>13.219685</v>
      </c>
      <c r="Q108">
        <v>6.518513</v>
      </c>
    </row>
    <row r="109">
      <c r="A109" t="str">
        <v>05</v>
      </c>
      <c r="B109" t="str">
        <v>Usme</v>
      </c>
      <c r="C109">
        <v>2023</v>
      </c>
      <c r="D109">
        <v>3187</v>
      </c>
      <c r="E109" t="str">
        <v>Usme</v>
      </c>
      <c r="F109">
        <v>4578</v>
      </c>
      <c r="G109">
        <v>391852</v>
      </c>
      <c r="H109" t="str">
        <v>Enero-Diciembre</v>
      </c>
      <c r="I109" t="str">
        <v>full_year</v>
      </c>
      <c r="J109">
        <v>813.317273</v>
      </c>
      <c r="K109">
        <v>1168.298235</v>
      </c>
      <c r="L109">
        <v>1.4364606212739253</v>
      </c>
      <c r="M109">
        <v>17</v>
      </c>
      <c r="N109">
        <v>19</v>
      </c>
      <c r="O109">
        <v>5.285761</v>
      </c>
      <c r="P109">
        <v>5.849711</v>
      </c>
      <c r="Q109">
        <v>0.56395</v>
      </c>
    </row>
    <row r="110">
      <c r="A110" t="str">
        <v>06</v>
      </c>
      <c r="B110" t="str">
        <v>Tunjuelito</v>
      </c>
      <c r="C110">
        <v>2023</v>
      </c>
      <c r="D110">
        <v>2787</v>
      </c>
      <c r="E110" t="str">
        <v>Tunjuelito</v>
      </c>
      <c r="F110">
        <v>3136</v>
      </c>
      <c r="G110">
        <v>175922</v>
      </c>
      <c r="H110" t="str">
        <v>Enero-Diciembre</v>
      </c>
      <c r="I110" t="str">
        <v>full_year</v>
      </c>
      <c r="J110">
        <v>1584.224827</v>
      </c>
      <c r="K110">
        <v>1782.608201</v>
      </c>
      <c r="L110">
        <v>1.1252242554718335</v>
      </c>
      <c r="M110">
        <v>18</v>
      </c>
      <c r="N110">
        <v>11</v>
      </c>
      <c r="O110">
        <v>0.759219</v>
      </c>
      <c r="P110">
        <v>9.230233</v>
      </c>
      <c r="Q110">
        <v>8.471014</v>
      </c>
    </row>
    <row r="111">
      <c r="A111" t="str">
        <v>07</v>
      </c>
      <c r="B111" t="str">
        <v>Bosa</v>
      </c>
      <c r="C111">
        <v>2023</v>
      </c>
      <c r="D111">
        <v>7284</v>
      </c>
      <c r="E111" t="str">
        <v>Bosa</v>
      </c>
      <c r="F111">
        <v>9246</v>
      </c>
      <c r="G111">
        <v>752229</v>
      </c>
      <c r="H111" t="str">
        <v>Enero-Diciembre</v>
      </c>
      <c r="I111" t="str">
        <v>full_year</v>
      </c>
      <c r="J111">
        <v>968.322147</v>
      </c>
      <c r="K111">
        <v>1229.146975</v>
      </c>
      <c r="L111">
        <v>1.2693574958813838</v>
      </c>
      <c r="M111">
        <v>10</v>
      </c>
      <c r="N111">
        <v>18</v>
      </c>
      <c r="O111">
        <v>6.740914</v>
      </c>
      <c r="P111">
        <v>0.850785</v>
      </c>
      <c r="Q111">
        <v>-5.890129</v>
      </c>
    </row>
    <row r="112">
      <c r="A112" t="str">
        <v>08</v>
      </c>
      <c r="B112" t="str">
        <v>Kennedy</v>
      </c>
      <c r="C112">
        <v>2023</v>
      </c>
      <c r="D112">
        <v>16152</v>
      </c>
      <c r="E112" t="str">
        <v>Kennedy</v>
      </c>
      <c r="F112">
        <v>17537</v>
      </c>
      <c r="G112">
        <v>1093721</v>
      </c>
      <c r="H112" t="str">
        <v>Enero-Diciembre</v>
      </c>
      <c r="I112" t="str">
        <v>full_year</v>
      </c>
      <c r="J112">
        <v>1476.793442</v>
      </c>
      <c r="K112">
        <v>1603.425371</v>
      </c>
      <c r="L112">
        <v>1.0857478949975234</v>
      </c>
      <c r="M112">
        <v>2</v>
      </c>
      <c r="N112">
        <v>13</v>
      </c>
      <c r="O112">
        <v>11.094298</v>
      </c>
      <c r="P112">
        <v>2.429765</v>
      </c>
      <c r="Q112">
        <v>-8.664533</v>
      </c>
    </row>
    <row r="113">
      <c r="A113" t="str">
        <v>09</v>
      </c>
      <c r="B113" t="str">
        <v>Fontibón</v>
      </c>
      <c r="C113">
        <v>2023</v>
      </c>
      <c r="D113">
        <v>8938</v>
      </c>
      <c r="E113" t="str">
        <v>Fontibón</v>
      </c>
      <c r="F113">
        <v>7647</v>
      </c>
      <c r="G113">
        <v>385154</v>
      </c>
      <c r="H113" t="str">
        <v>Enero-Diciembre</v>
      </c>
      <c r="I113" t="str">
        <v>full_year</v>
      </c>
      <c r="J113">
        <v>2320.630189</v>
      </c>
      <c r="K113">
        <v>1985.43959</v>
      </c>
      <c r="L113">
        <v>0.8555605280823451</v>
      </c>
      <c r="M113">
        <v>7</v>
      </c>
      <c r="N113">
        <v>9</v>
      </c>
      <c r="O113">
        <v>-2.742111</v>
      </c>
      <c r="P113">
        <v>12.488967</v>
      </c>
      <c r="Q113">
        <v>15.231078</v>
      </c>
    </row>
    <row r="114">
      <c r="A114" t="str">
        <v>10</v>
      </c>
      <c r="B114" t="str">
        <v>Engativá</v>
      </c>
      <c r="C114">
        <v>2023</v>
      </c>
      <c r="D114">
        <v>15458</v>
      </c>
      <c r="E114" t="str">
        <v>Engativá</v>
      </c>
      <c r="F114">
        <v>16797</v>
      </c>
      <c r="G114">
        <v>830505</v>
      </c>
      <c r="H114" t="str">
        <v>Enero-Diciembre</v>
      </c>
      <c r="I114" t="str">
        <v>full_year</v>
      </c>
      <c r="J114">
        <v>1861.277175</v>
      </c>
      <c r="K114">
        <v>2022.50438</v>
      </c>
      <c r="L114">
        <v>1.0866218139474706</v>
      </c>
      <c r="M114">
        <v>3</v>
      </c>
      <c r="N114">
        <v>10</v>
      </c>
      <c r="O114">
        <v>12.815647</v>
      </c>
      <c r="P114">
        <v>6.471856</v>
      </c>
      <c r="Q114">
        <v>-6.343791</v>
      </c>
    </row>
    <row r="115">
      <c r="A115" t="str">
        <v>11</v>
      </c>
      <c r="B115" t="str">
        <v>Suba</v>
      </c>
      <c r="C115">
        <v>2023</v>
      </c>
      <c r="D115">
        <v>17656</v>
      </c>
      <c r="E115" t="str">
        <v>Suba</v>
      </c>
      <c r="F115">
        <v>16718</v>
      </c>
      <c r="G115">
        <v>1241362</v>
      </c>
      <c r="H115" t="str">
        <v>Enero-Diciembre</v>
      </c>
      <c r="I115" t="str">
        <v>full_year</v>
      </c>
      <c r="J115">
        <v>1422.308722</v>
      </c>
      <c r="K115">
        <v>1346.746557</v>
      </c>
      <c r="L115">
        <v>0.9468735840507476</v>
      </c>
      <c r="M115">
        <v>1</v>
      </c>
      <c r="N115">
        <v>15</v>
      </c>
      <c r="O115">
        <v>21.39714</v>
      </c>
      <c r="P115">
        <v>0.523119</v>
      </c>
      <c r="Q115">
        <v>-20.87402</v>
      </c>
    </row>
    <row r="116">
      <c r="A116" t="str">
        <v>12</v>
      </c>
      <c r="B116" t="str">
        <v>Barrios Unidos</v>
      </c>
      <c r="C116">
        <v>2023</v>
      </c>
      <c r="D116">
        <v>6931</v>
      </c>
      <c r="E116" t="str">
        <v>Barrios Unidos</v>
      </c>
      <c r="F116">
        <v>5624</v>
      </c>
      <c r="G116">
        <v>136020</v>
      </c>
      <c r="H116" t="str">
        <v>Enero-Diciembre</v>
      </c>
      <c r="I116" t="str">
        <v>full_year</v>
      </c>
      <c r="J116">
        <v>5095.57418</v>
      </c>
      <c r="K116">
        <v>4134.686076</v>
      </c>
      <c r="L116">
        <v>0.8114269225220025</v>
      </c>
      <c r="M116">
        <v>12</v>
      </c>
      <c r="N116">
        <v>6</v>
      </c>
      <c r="O116">
        <v>28.304332</v>
      </c>
      <c r="P116">
        <v>16.006601</v>
      </c>
      <c r="Q116">
        <v>-12.297731</v>
      </c>
    </row>
    <row r="117">
      <c r="A117" t="str">
        <v>13</v>
      </c>
      <c r="B117" t="str">
        <v>Teusaquillo</v>
      </c>
      <c r="C117">
        <v>2023</v>
      </c>
      <c r="D117">
        <v>10228</v>
      </c>
      <c r="E117" t="str">
        <v>Teusaquillo</v>
      </c>
      <c r="F117">
        <v>6257</v>
      </c>
      <c r="G117">
        <v>154555</v>
      </c>
      <c r="H117" t="str">
        <v>Enero-Diciembre</v>
      </c>
      <c r="I117" t="str">
        <v>full_year</v>
      </c>
      <c r="J117">
        <v>6617.708906</v>
      </c>
      <c r="K117">
        <v>4048.397011</v>
      </c>
      <c r="L117">
        <v>0.611752053187329</v>
      </c>
      <c r="M117">
        <v>5</v>
      </c>
      <c r="N117">
        <v>5</v>
      </c>
      <c r="O117">
        <v>28.508607</v>
      </c>
      <c r="P117">
        <v>10.58678</v>
      </c>
      <c r="Q117">
        <v>-17.921827</v>
      </c>
    </row>
    <row r="118">
      <c r="A118" t="str">
        <v>14</v>
      </c>
      <c r="B118" t="str">
        <v>Los Mártires</v>
      </c>
      <c r="C118">
        <v>2023</v>
      </c>
      <c r="D118">
        <v>9097</v>
      </c>
      <c r="E118" t="str">
        <v>Los Mártires</v>
      </c>
      <c r="F118">
        <v>4809</v>
      </c>
      <c r="G118">
        <v>75278</v>
      </c>
      <c r="H118" t="str">
        <v>Enero-Diciembre</v>
      </c>
      <c r="I118" t="str">
        <v>full_year</v>
      </c>
      <c r="J118">
        <v>12084.539972</v>
      </c>
      <c r="K118">
        <v>6388.320625</v>
      </c>
      <c r="L118">
        <v>0.5286358140046169</v>
      </c>
      <c r="M118">
        <v>6</v>
      </c>
      <c r="N118">
        <v>1</v>
      </c>
      <c r="O118">
        <v>59.010662</v>
      </c>
      <c r="P118">
        <v>5.252791</v>
      </c>
      <c r="Q118">
        <v>-53.757872</v>
      </c>
    </row>
    <row r="119">
      <c r="A119" t="str">
        <v>15</v>
      </c>
      <c r="B119" t="str">
        <v>Antonio Nariño</v>
      </c>
      <c r="C119">
        <v>2023</v>
      </c>
      <c r="D119">
        <v>3228</v>
      </c>
      <c r="E119" t="str">
        <v>Antonio Nariño</v>
      </c>
      <c r="F119">
        <v>3394</v>
      </c>
      <c r="G119">
        <v>78536</v>
      </c>
      <c r="H119" t="str">
        <v>Enero-Diciembre</v>
      </c>
      <c r="I119" t="str">
        <v>full_year</v>
      </c>
      <c r="J119">
        <v>4110.216971</v>
      </c>
      <c r="K119">
        <v>4321.585006</v>
      </c>
      <c r="L119">
        <v>1.0514250309789344</v>
      </c>
      <c r="M119">
        <v>16</v>
      </c>
      <c r="N119">
        <v>7</v>
      </c>
      <c r="O119">
        <v>17.638484</v>
      </c>
      <c r="P119">
        <v>4.495074</v>
      </c>
      <c r="Q119">
        <v>-13.14341</v>
      </c>
    </row>
    <row r="120">
      <c r="A120" t="str">
        <v>16</v>
      </c>
      <c r="B120" t="str">
        <v>Puente Aranda</v>
      </c>
      <c r="C120">
        <v>2023</v>
      </c>
      <c r="D120">
        <v>6964</v>
      </c>
      <c r="E120" t="str">
        <v>Puente Aranda</v>
      </c>
      <c r="F120">
        <v>7185</v>
      </c>
      <c r="G120">
        <v>249697</v>
      </c>
      <c r="H120" t="str">
        <v>Enero-Diciembre</v>
      </c>
      <c r="I120" t="str">
        <v>full_year</v>
      </c>
      <c r="J120">
        <v>2788.980244</v>
      </c>
      <c r="K120">
        <v>2877.487515</v>
      </c>
      <c r="L120">
        <v>1.031734635267088</v>
      </c>
      <c r="M120">
        <v>11</v>
      </c>
      <c r="N120">
        <v>8</v>
      </c>
      <c r="O120">
        <v>4.080108</v>
      </c>
      <c r="P120">
        <v>7.415159</v>
      </c>
      <c r="Q120">
        <v>3.335052</v>
      </c>
    </row>
    <row r="121">
      <c r="A121" t="str">
        <v>17</v>
      </c>
      <c r="B121" t="str">
        <v>La Candelaria</v>
      </c>
      <c r="C121">
        <v>2023</v>
      </c>
      <c r="D121">
        <v>1309</v>
      </c>
      <c r="E121" t="str">
        <v>La Candelaria</v>
      </c>
      <c r="F121">
        <v>674</v>
      </c>
      <c r="G121">
        <v>16782</v>
      </c>
      <c r="H121" t="str">
        <v>Enero-Diciembre</v>
      </c>
      <c r="I121" t="str">
        <v>full_year</v>
      </c>
      <c r="J121">
        <v>7800.023835</v>
      </c>
      <c r="K121">
        <v>4016.207842</v>
      </c>
      <c r="L121">
        <v>0.5148968678380443</v>
      </c>
      <c r="M121">
        <v>19</v>
      </c>
      <c r="N121">
        <v>4</v>
      </c>
      <c r="O121">
        <v>-1.356443</v>
      </c>
      <c r="P121">
        <v>-4.532578</v>
      </c>
      <c r="Q121">
        <v>-3.176135</v>
      </c>
    </row>
    <row r="122">
      <c r="A122" t="str">
        <v>18</v>
      </c>
      <c r="B122" t="str">
        <v>Rafael Uribe Uribe</v>
      </c>
      <c r="C122">
        <v>2023</v>
      </c>
      <c r="D122">
        <v>5461</v>
      </c>
      <c r="E122" t="str">
        <v>Rafael Uribe Uribe</v>
      </c>
      <c r="F122">
        <v>6205</v>
      </c>
      <c r="G122">
        <v>375730</v>
      </c>
      <c r="H122" t="str">
        <v>Enero-Diciembre</v>
      </c>
      <c r="I122" t="str">
        <v>full_year</v>
      </c>
      <c r="J122">
        <v>1453.437309</v>
      </c>
      <c r="K122">
        <v>1651.45184</v>
      </c>
      <c r="L122">
        <v>1.1362387841054753</v>
      </c>
      <c r="M122">
        <v>14</v>
      </c>
      <c r="N122">
        <v>14</v>
      </c>
      <c r="O122">
        <v>21.680036</v>
      </c>
      <c r="P122">
        <v>6.213625</v>
      </c>
      <c r="Q122">
        <v>-15.46641</v>
      </c>
    </row>
    <row r="123">
      <c r="A123" t="str">
        <v>19</v>
      </c>
      <c r="B123" t="str">
        <v>Ciudad Bolívar</v>
      </c>
      <c r="C123">
        <v>2023</v>
      </c>
      <c r="D123">
        <v>6596</v>
      </c>
      <c r="E123" t="str">
        <v>Ciudad Bolívar</v>
      </c>
      <c r="F123">
        <v>8468</v>
      </c>
      <c r="G123">
        <v>669467</v>
      </c>
      <c r="H123" t="str">
        <v>Enero-Diciembre</v>
      </c>
      <c r="I123" t="str">
        <v>full_year</v>
      </c>
      <c r="J123">
        <v>985.261409</v>
      </c>
      <c r="K123">
        <v>1264.886843</v>
      </c>
      <c r="L123">
        <v>1.2838083687083082</v>
      </c>
      <c r="M123">
        <v>13</v>
      </c>
      <c r="N123">
        <v>17</v>
      </c>
      <c r="O123">
        <v>18.292683</v>
      </c>
      <c r="P123">
        <v>-3.421533</v>
      </c>
      <c r="Q123">
        <v>-21.714216</v>
      </c>
    </row>
    <row r="124">
      <c r="A124" t="str">
        <v>20</v>
      </c>
      <c r="B124" t="str">
        <v>Sumapaz</v>
      </c>
      <c r="C124">
        <v>2023</v>
      </c>
      <c r="D124">
        <v>0</v>
      </c>
      <c r="E124" t="str">
        <v>Sumapaz</v>
      </c>
      <c r="F124">
        <v>10</v>
      </c>
      <c r="G124">
        <v>3259</v>
      </c>
      <c r="H124" t="str">
        <v>Enero-Diciembre</v>
      </c>
      <c r="I124" t="str">
        <v>full_year</v>
      </c>
      <c r="J124">
        <v>0</v>
      </c>
      <c r="K124">
        <v>306.84259</v>
      </c>
      <c r="M124">
        <v>20</v>
      </c>
      <c r="N124">
        <v>20</v>
      </c>
      <c r="P124">
        <v>25</v>
      </c>
    </row>
    <row r="125">
      <c r="A125" t="str">
        <v>01</v>
      </c>
      <c r="B125" t="str">
        <v>Usaquén</v>
      </c>
      <c r="C125">
        <v>2024</v>
      </c>
      <c r="D125">
        <v>8641</v>
      </c>
      <c r="E125" t="str">
        <v>Usaquén</v>
      </c>
      <c r="F125">
        <v>8125</v>
      </c>
      <c r="G125">
        <v>586366</v>
      </c>
      <c r="H125" t="str">
        <v>Enero-Diciembre</v>
      </c>
      <c r="I125" t="str">
        <v>full_year</v>
      </c>
      <c r="J125">
        <v>1473.652974</v>
      </c>
      <c r="K125">
        <v>1385.653329</v>
      </c>
      <c r="L125">
        <v>0.940284689272075</v>
      </c>
      <c r="M125">
        <v>7</v>
      </c>
      <c r="N125">
        <v>11</v>
      </c>
      <c r="O125">
        <v>-0.02314</v>
      </c>
      <c r="P125">
        <v>-9.872435</v>
      </c>
      <c r="Q125">
        <v>-9.849295</v>
      </c>
    </row>
    <row r="126">
      <c r="A126" t="str">
        <v>02</v>
      </c>
      <c r="B126" t="str">
        <v>Chapinero</v>
      </c>
      <c r="C126">
        <v>2024</v>
      </c>
      <c r="D126">
        <v>10977</v>
      </c>
      <c r="E126" t="str">
        <v>Chapinero</v>
      </c>
      <c r="F126">
        <v>6017</v>
      </c>
      <c r="G126">
        <v>161696</v>
      </c>
      <c r="H126" t="str">
        <v>Enero-Diciembre</v>
      </c>
      <c r="I126" t="str">
        <v>full_year</v>
      </c>
      <c r="J126">
        <v>6788.665149</v>
      </c>
      <c r="K126">
        <v>3721.180487</v>
      </c>
      <c r="L126">
        <v>0.5481461237132186</v>
      </c>
      <c r="M126">
        <v>5</v>
      </c>
      <c r="N126">
        <v>4</v>
      </c>
      <c r="O126">
        <v>-26.702724</v>
      </c>
      <c r="P126">
        <v>-1.295932</v>
      </c>
      <c r="Q126">
        <v>25.406793</v>
      </c>
    </row>
    <row r="127">
      <c r="A127" t="str">
        <v>03</v>
      </c>
      <c r="B127" t="str">
        <v>Santa Fe</v>
      </c>
      <c r="C127">
        <v>2024</v>
      </c>
      <c r="D127">
        <v>9553</v>
      </c>
      <c r="E127" t="str">
        <v>Santa Fe</v>
      </c>
      <c r="F127">
        <v>4542</v>
      </c>
      <c r="G127">
        <v>112939</v>
      </c>
      <c r="H127" t="str">
        <v>Enero-Diciembre</v>
      </c>
      <c r="I127" t="str">
        <v>full_year</v>
      </c>
      <c r="J127">
        <v>8458.54842</v>
      </c>
      <c r="K127">
        <v>4021.64</v>
      </c>
      <c r="L127">
        <v>0.4754527373599916</v>
      </c>
      <c r="M127">
        <v>6</v>
      </c>
      <c r="N127">
        <v>3</v>
      </c>
      <c r="O127">
        <v>8.655596</v>
      </c>
      <c r="P127">
        <v>-1.174935</v>
      </c>
      <c r="Q127">
        <v>-9.830531</v>
      </c>
    </row>
    <row r="128">
      <c r="A128" t="str">
        <v>04</v>
      </c>
      <c r="B128" t="str">
        <v>San Cristóbal</v>
      </c>
      <c r="C128">
        <v>2024</v>
      </c>
      <c r="D128">
        <v>3236</v>
      </c>
      <c r="E128" t="str">
        <v>San Cristóbal</v>
      </c>
      <c r="F128">
        <v>5893</v>
      </c>
      <c r="G128">
        <v>394656</v>
      </c>
      <c r="H128" t="str">
        <v>Enero-Diciembre</v>
      </c>
      <c r="I128" t="str">
        <v>full_year</v>
      </c>
      <c r="J128">
        <v>819.954593</v>
      </c>
      <c r="K128">
        <v>1493.199141</v>
      </c>
      <c r="L128">
        <v>1.8210754017305315</v>
      </c>
      <c r="M128">
        <v>15</v>
      </c>
      <c r="N128">
        <v>16</v>
      </c>
      <c r="O128">
        <v>-17.385754</v>
      </c>
      <c r="P128">
        <v>-16.292614</v>
      </c>
      <c r="Q128">
        <v>1.093141</v>
      </c>
    </row>
    <row r="129">
      <c r="A129" t="str">
        <v>05</v>
      </c>
      <c r="B129" t="str">
        <v>Usme</v>
      </c>
      <c r="C129">
        <v>2024</v>
      </c>
      <c r="D129">
        <v>2383</v>
      </c>
      <c r="E129" t="str">
        <v>Usme</v>
      </c>
      <c r="F129">
        <v>4289</v>
      </c>
      <c r="G129">
        <v>395664</v>
      </c>
      <c r="H129" t="str">
        <v>Enero-Diciembre</v>
      </c>
      <c r="I129" t="str">
        <v>full_year</v>
      </c>
      <c r="J129">
        <v>602.278701</v>
      </c>
      <c r="K129">
        <v>1084.000566</v>
      </c>
      <c r="L129">
        <v>1.799832144355854</v>
      </c>
      <c r="M129">
        <v>16</v>
      </c>
      <c r="N129">
        <v>19</v>
      </c>
      <c r="O129">
        <v>-25.227487</v>
      </c>
      <c r="P129">
        <v>-6.3128</v>
      </c>
      <c r="Q129">
        <v>18.914686</v>
      </c>
    </row>
    <row r="130">
      <c r="A130" t="str">
        <v>06</v>
      </c>
      <c r="B130" t="str">
        <v>Tunjuelito</v>
      </c>
      <c r="C130">
        <v>2024</v>
      </c>
      <c r="D130">
        <v>2354</v>
      </c>
      <c r="E130" t="str">
        <v>Tunjuelito</v>
      </c>
      <c r="F130">
        <v>3174</v>
      </c>
      <c r="G130">
        <v>175728</v>
      </c>
      <c r="H130" t="str">
        <v>Enero-Diciembre</v>
      </c>
      <c r="I130" t="str">
        <v>full_year</v>
      </c>
      <c r="J130">
        <v>1339.570245</v>
      </c>
      <c r="K130">
        <v>1806.200492</v>
      </c>
      <c r="L130">
        <v>1.3483432455395072</v>
      </c>
      <c r="M130">
        <v>17</v>
      </c>
      <c r="N130">
        <v>12</v>
      </c>
      <c r="O130">
        <v>-15.536419</v>
      </c>
      <c r="P130">
        <v>1.211735</v>
      </c>
      <c r="Q130">
        <v>16.748154</v>
      </c>
    </row>
    <row r="131">
      <c r="A131" t="str">
        <v>07</v>
      </c>
      <c r="B131" t="str">
        <v>Bosa</v>
      </c>
      <c r="C131">
        <v>2024</v>
      </c>
      <c r="D131">
        <v>5346</v>
      </c>
      <c r="E131" t="str">
        <v>Bosa</v>
      </c>
      <c r="F131">
        <v>7479</v>
      </c>
      <c r="G131">
        <v>760580</v>
      </c>
      <c r="H131" t="str">
        <v>Enero-Diciembre</v>
      </c>
      <c r="I131" t="str">
        <v>full_year</v>
      </c>
      <c r="J131">
        <v>702.884641</v>
      </c>
      <c r="K131">
        <v>983.328512</v>
      </c>
      <c r="L131">
        <v>1.398989898989899</v>
      </c>
      <c r="M131">
        <v>11</v>
      </c>
      <c r="N131">
        <v>18</v>
      </c>
      <c r="O131">
        <v>-26.60626</v>
      </c>
      <c r="P131">
        <v>-19.110967</v>
      </c>
      <c r="Q131">
        <v>7.495293</v>
      </c>
    </row>
    <row r="132">
      <c r="A132" t="str">
        <v>08</v>
      </c>
      <c r="B132" t="str">
        <v>Kennedy</v>
      </c>
      <c r="C132">
        <v>2024</v>
      </c>
      <c r="D132">
        <v>11961</v>
      </c>
      <c r="E132" t="str">
        <v>Kennedy</v>
      </c>
      <c r="F132">
        <v>15910</v>
      </c>
      <c r="G132">
        <v>1099572</v>
      </c>
      <c r="H132" t="str">
        <v>Enero-Diciembre</v>
      </c>
      <c r="I132" t="str">
        <v>full_year</v>
      </c>
      <c r="J132">
        <v>1087.786884</v>
      </c>
      <c r="K132">
        <v>1446.926622</v>
      </c>
      <c r="L132">
        <v>1.330156341443023</v>
      </c>
      <c r="M132">
        <v>3</v>
      </c>
      <c r="N132">
        <v>13</v>
      </c>
      <c r="O132">
        <v>-25.947251</v>
      </c>
      <c r="P132">
        <v>-9.277528</v>
      </c>
      <c r="Q132">
        <v>16.669724</v>
      </c>
    </row>
    <row r="133">
      <c r="A133" t="str">
        <v>09</v>
      </c>
      <c r="B133" t="str">
        <v>Fontibón</v>
      </c>
      <c r="C133">
        <v>2024</v>
      </c>
      <c r="D133">
        <v>8185</v>
      </c>
      <c r="E133" t="str">
        <v>Fontibón</v>
      </c>
      <c r="F133">
        <v>6892</v>
      </c>
      <c r="G133">
        <v>385603</v>
      </c>
      <c r="H133" t="str">
        <v>Enero-Diciembre</v>
      </c>
      <c r="I133" t="str">
        <v>full_year</v>
      </c>
      <c r="J133">
        <v>2122.649461</v>
      </c>
      <c r="K133">
        <v>1787.330493</v>
      </c>
      <c r="L133">
        <v>0.842028100183262</v>
      </c>
      <c r="M133">
        <v>8</v>
      </c>
      <c r="N133">
        <v>9</v>
      </c>
      <c r="O133">
        <v>-8.424704</v>
      </c>
      <c r="P133">
        <v>-9.873153</v>
      </c>
      <c r="Q133">
        <v>-1.448449</v>
      </c>
    </row>
    <row r="134">
      <c r="A134" t="str">
        <v>10</v>
      </c>
      <c r="B134" t="str">
        <v>Engativá</v>
      </c>
      <c r="C134">
        <v>2024</v>
      </c>
      <c r="D134">
        <v>12343</v>
      </c>
      <c r="E134" t="str">
        <v>Engativá</v>
      </c>
      <c r="F134">
        <v>15032</v>
      </c>
      <c r="G134">
        <v>831376</v>
      </c>
      <c r="H134" t="str">
        <v>Enero-Diciembre</v>
      </c>
      <c r="I134" t="str">
        <v>full_year</v>
      </c>
      <c r="J134">
        <v>1484.647139</v>
      </c>
      <c r="K134">
        <v>1808.086834</v>
      </c>
      <c r="L134">
        <v>1.2178562748116342</v>
      </c>
      <c r="M134">
        <v>2</v>
      </c>
      <c r="N134">
        <v>10</v>
      </c>
      <c r="O134">
        <v>-20.151378</v>
      </c>
      <c r="P134">
        <v>-10.507829</v>
      </c>
      <c r="Q134">
        <v>9.643549</v>
      </c>
    </row>
    <row r="135">
      <c r="A135" t="str">
        <v>11</v>
      </c>
      <c r="B135" t="str">
        <v>Suba</v>
      </c>
      <c r="C135">
        <v>2024</v>
      </c>
      <c r="D135">
        <v>12836</v>
      </c>
      <c r="E135" t="str">
        <v>Suba</v>
      </c>
      <c r="F135">
        <v>14669</v>
      </c>
      <c r="G135">
        <v>1247542</v>
      </c>
      <c r="H135" t="str">
        <v>Enero-Diciembre</v>
      </c>
      <c r="I135" t="str">
        <v>full_year</v>
      </c>
      <c r="J135">
        <v>1028.903235</v>
      </c>
      <c r="K135">
        <v>1175.832156</v>
      </c>
      <c r="L135">
        <v>1.1428014957930819</v>
      </c>
      <c r="M135">
        <v>1</v>
      </c>
      <c r="N135">
        <v>14</v>
      </c>
      <c r="O135">
        <v>-27.299502</v>
      </c>
      <c r="P135">
        <v>-12.256251</v>
      </c>
      <c r="Q135">
        <v>15.043251</v>
      </c>
    </row>
    <row r="136">
      <c r="A136" t="str">
        <v>12</v>
      </c>
      <c r="B136" t="str">
        <v>Barrios Unidos</v>
      </c>
      <c r="C136">
        <v>2024</v>
      </c>
      <c r="D136">
        <v>5141</v>
      </c>
      <c r="E136" t="str">
        <v>Barrios Unidos</v>
      </c>
      <c r="F136">
        <v>5364</v>
      </c>
      <c r="G136">
        <v>135762</v>
      </c>
      <c r="H136" t="str">
        <v>Enero-Diciembre</v>
      </c>
      <c r="I136" t="str">
        <v>full_year</v>
      </c>
      <c r="J136">
        <v>3786.773913</v>
      </c>
      <c r="K136">
        <v>3951.031953</v>
      </c>
      <c r="L136">
        <v>1.0433767749465084</v>
      </c>
      <c r="M136">
        <v>12</v>
      </c>
      <c r="N136">
        <v>6</v>
      </c>
      <c r="O136">
        <v>-25.825999</v>
      </c>
      <c r="P136">
        <v>-4.623044</v>
      </c>
      <c r="Q136">
        <v>21.202955</v>
      </c>
    </row>
    <row r="137">
      <c r="A137" t="str">
        <v>13</v>
      </c>
      <c r="B137" t="str">
        <v>Teusaquillo</v>
      </c>
      <c r="C137">
        <v>2024</v>
      </c>
      <c r="D137">
        <v>7545</v>
      </c>
      <c r="E137" t="str">
        <v>Teusaquillo</v>
      </c>
      <c r="F137">
        <v>5806</v>
      </c>
      <c r="G137">
        <v>155013</v>
      </c>
      <c r="H137" t="str">
        <v>Enero-Diciembre</v>
      </c>
      <c r="I137" t="str">
        <v>full_year</v>
      </c>
      <c r="J137">
        <v>4867.333707</v>
      </c>
      <c r="K137">
        <v>3745.492314</v>
      </c>
      <c r="L137">
        <v>0.7695162359178264</v>
      </c>
      <c r="M137">
        <v>9</v>
      </c>
      <c r="N137">
        <v>5</v>
      </c>
      <c r="O137">
        <v>-26.231912</v>
      </c>
      <c r="P137">
        <v>-7.207927</v>
      </c>
      <c r="Q137">
        <v>19.023985</v>
      </c>
    </row>
    <row r="138">
      <c r="A138" t="str">
        <v>14</v>
      </c>
      <c r="B138" t="str">
        <v>Los Mártires</v>
      </c>
      <c r="C138">
        <v>2024</v>
      </c>
      <c r="D138">
        <v>11499</v>
      </c>
      <c r="E138" t="str">
        <v>Los Mártires</v>
      </c>
      <c r="F138">
        <v>5107</v>
      </c>
      <c r="G138">
        <v>75403</v>
      </c>
      <c r="H138" t="str">
        <v>Enero-Diciembre</v>
      </c>
      <c r="I138" t="str">
        <v>full_year</v>
      </c>
      <c r="J138">
        <v>15250.056364</v>
      </c>
      <c r="K138">
        <v>6772.940069</v>
      </c>
      <c r="L138">
        <v>0.4441255761370554</v>
      </c>
      <c r="M138">
        <v>4</v>
      </c>
      <c r="N138">
        <v>1</v>
      </c>
      <c r="O138">
        <v>26.404309</v>
      </c>
      <c r="P138">
        <v>6.196714</v>
      </c>
      <c r="Q138">
        <v>-20.207595</v>
      </c>
    </row>
    <row r="139">
      <c r="A139" t="str">
        <v>15</v>
      </c>
      <c r="B139" t="str">
        <v>Antonio Nariño</v>
      </c>
      <c r="C139">
        <v>2024</v>
      </c>
      <c r="D139">
        <v>2244</v>
      </c>
      <c r="E139" t="str">
        <v>Antonio Nariño</v>
      </c>
      <c r="F139">
        <v>3277</v>
      </c>
      <c r="G139">
        <v>77987</v>
      </c>
      <c r="H139" t="str">
        <v>Enero-Diciembre</v>
      </c>
      <c r="I139" t="str">
        <v>full_year</v>
      </c>
      <c r="J139">
        <v>2877.402644</v>
      </c>
      <c r="K139">
        <v>4201.982382</v>
      </c>
      <c r="L139">
        <v>1.4603386809269163</v>
      </c>
      <c r="M139">
        <v>18</v>
      </c>
      <c r="N139">
        <v>7</v>
      </c>
      <c r="O139">
        <v>-30.483271</v>
      </c>
      <c r="P139">
        <v>-3.44726</v>
      </c>
      <c r="Q139">
        <v>27.036012</v>
      </c>
    </row>
    <row r="140">
      <c r="A140" t="str">
        <v>16</v>
      </c>
      <c r="B140" t="str">
        <v>Puente Aranda</v>
      </c>
      <c r="C140">
        <v>2024</v>
      </c>
      <c r="D140">
        <v>5614</v>
      </c>
      <c r="E140" t="str">
        <v>Puente Aranda</v>
      </c>
      <c r="F140">
        <v>8186</v>
      </c>
      <c r="G140">
        <v>249697</v>
      </c>
      <c r="H140" t="str">
        <v>Enero-Diciembre</v>
      </c>
      <c r="I140" t="str">
        <v>full_year</v>
      </c>
      <c r="J140">
        <v>2248.32497</v>
      </c>
      <c r="K140">
        <v>3278.373389</v>
      </c>
      <c r="L140">
        <v>1.4581403633772712</v>
      </c>
      <c r="M140">
        <v>10</v>
      </c>
      <c r="N140">
        <v>8</v>
      </c>
      <c r="O140">
        <v>-19.385411</v>
      </c>
      <c r="P140">
        <v>13.931802</v>
      </c>
      <c r="Q140">
        <v>33.317213</v>
      </c>
    </row>
    <row r="141">
      <c r="A141" t="str">
        <v>17</v>
      </c>
      <c r="B141" t="str">
        <v>La Candelaria</v>
      </c>
      <c r="C141">
        <v>2024</v>
      </c>
      <c r="D141">
        <v>1798</v>
      </c>
      <c r="E141" t="str">
        <v>La Candelaria</v>
      </c>
      <c r="F141">
        <v>739</v>
      </c>
      <c r="G141">
        <v>16689</v>
      </c>
      <c r="H141" t="str">
        <v>Enero-Diciembre</v>
      </c>
      <c r="I141" t="str">
        <v>full_year</v>
      </c>
      <c r="J141">
        <v>10773.563425</v>
      </c>
      <c r="K141">
        <v>4428.066391</v>
      </c>
      <c r="L141">
        <v>0.41101223581757507</v>
      </c>
      <c r="M141">
        <v>19</v>
      </c>
      <c r="N141">
        <v>2</v>
      </c>
      <c r="O141">
        <v>37.356761</v>
      </c>
      <c r="P141">
        <v>9.643917</v>
      </c>
      <c r="Q141">
        <v>-27.712844</v>
      </c>
    </row>
    <row r="142">
      <c r="A142" t="str">
        <v>18</v>
      </c>
      <c r="B142" t="str">
        <v>Rafael Uribe Uribe</v>
      </c>
      <c r="C142">
        <v>2024</v>
      </c>
      <c r="D142">
        <v>3354</v>
      </c>
      <c r="E142" t="str">
        <v>Rafael Uribe Uribe</v>
      </c>
      <c r="F142">
        <v>6596</v>
      </c>
      <c r="G142">
        <v>375542</v>
      </c>
      <c r="H142" t="str">
        <v>Enero-Diciembre</v>
      </c>
      <c r="I142" t="str">
        <v>full_year</v>
      </c>
      <c r="J142">
        <v>893.10916</v>
      </c>
      <c r="K142">
        <v>1756.394757</v>
      </c>
      <c r="L142">
        <v>1.9666070363744783</v>
      </c>
      <c r="M142">
        <v>14</v>
      </c>
      <c r="N142">
        <v>15</v>
      </c>
      <c r="O142">
        <v>-38.582677</v>
      </c>
      <c r="P142">
        <v>6.30137</v>
      </c>
      <c r="Q142">
        <v>44.884047</v>
      </c>
    </row>
    <row r="143">
      <c r="A143" t="str">
        <v>19</v>
      </c>
      <c r="B143" t="str">
        <v>Ciudad Bolívar</v>
      </c>
      <c r="C143">
        <v>2024</v>
      </c>
      <c r="D143">
        <v>4769</v>
      </c>
      <c r="E143" t="str">
        <v>Ciudad Bolívar</v>
      </c>
      <c r="F143">
        <v>7331</v>
      </c>
      <c r="G143">
        <v>677540</v>
      </c>
      <c r="H143" t="str">
        <v>Enero-Diciembre</v>
      </c>
      <c r="I143" t="str">
        <v>full_year</v>
      </c>
      <c r="J143">
        <v>703.869882</v>
      </c>
      <c r="K143">
        <v>1082.002539</v>
      </c>
      <c r="L143">
        <v>1.537219542881107</v>
      </c>
      <c r="M143">
        <v>13</v>
      </c>
      <c r="N143">
        <v>17</v>
      </c>
      <c r="O143">
        <v>-27.698605</v>
      </c>
      <c r="P143">
        <v>-13.427019</v>
      </c>
      <c r="Q143">
        <v>14.271586</v>
      </c>
    </row>
    <row r="144">
      <c r="A144" t="str">
        <v>20</v>
      </c>
      <c r="B144" t="str">
        <v>Sumapaz</v>
      </c>
      <c r="C144">
        <v>2024</v>
      </c>
      <c r="D144">
        <v>0</v>
      </c>
      <c r="E144" t="str">
        <v>Sumapaz</v>
      </c>
      <c r="F144">
        <v>3</v>
      </c>
      <c r="G144">
        <v>3305</v>
      </c>
      <c r="H144" t="str">
        <v>Enero-Diciembre</v>
      </c>
      <c r="I144" t="str">
        <v>full_year</v>
      </c>
      <c r="J144">
        <v>0</v>
      </c>
      <c r="K144">
        <v>90.771558</v>
      </c>
      <c r="M144">
        <v>20</v>
      </c>
      <c r="N144">
        <v>20</v>
      </c>
      <c r="P144">
        <v>-70</v>
      </c>
    </row>
    <row r="145">
      <c r="A145" t="str">
        <v>01</v>
      </c>
      <c r="B145" t="str">
        <v>Usaquén</v>
      </c>
      <c r="C145">
        <v>2025</v>
      </c>
      <c r="D145">
        <v>6847</v>
      </c>
      <c r="E145" t="str">
        <v>Usaquén</v>
      </c>
      <c r="F145">
        <v>8316</v>
      </c>
      <c r="G145">
        <v>586286</v>
      </c>
      <c r="H145" t="str">
        <v>Enero-Diciembre</v>
      </c>
      <c r="I145" t="str">
        <v>full_year</v>
      </c>
      <c r="J145">
        <v>1167.860055</v>
      </c>
      <c r="K145">
        <v>1418.420361</v>
      </c>
      <c r="L145">
        <v>1.2145465167226523</v>
      </c>
      <c r="M145">
        <v>6</v>
      </c>
      <c r="N145">
        <v>12</v>
      </c>
      <c r="O145">
        <v>-20.761486</v>
      </c>
      <c r="P145">
        <v>2.350769</v>
      </c>
      <c r="Q145">
        <v>23.112255</v>
      </c>
    </row>
    <row r="146">
      <c r="A146" t="str">
        <v>02</v>
      </c>
      <c r="B146" t="str">
        <v>Chapinero</v>
      </c>
      <c r="C146">
        <v>2025</v>
      </c>
      <c r="D146">
        <v>8041</v>
      </c>
      <c r="E146" t="str">
        <v>Chapinero</v>
      </c>
      <c r="F146">
        <v>6627</v>
      </c>
      <c r="G146">
        <v>161162</v>
      </c>
      <c r="H146" t="str">
        <v>Enero-Diciembre</v>
      </c>
      <c r="I146" t="str">
        <v>full_year</v>
      </c>
      <c r="J146">
        <v>4989.389558</v>
      </c>
      <c r="K146">
        <v>4112.011516</v>
      </c>
      <c r="L146">
        <v>0.8241512249720184</v>
      </c>
      <c r="M146">
        <v>4</v>
      </c>
      <c r="N146">
        <v>3</v>
      </c>
      <c r="O146">
        <v>-26.746834</v>
      </c>
      <c r="P146">
        <v>10.137942</v>
      </c>
      <c r="Q146">
        <v>36.884777</v>
      </c>
    </row>
    <row r="147">
      <c r="A147" t="str">
        <v>03</v>
      </c>
      <c r="B147" t="str">
        <v>Santa Fe</v>
      </c>
      <c r="C147">
        <v>2025</v>
      </c>
      <c r="D147">
        <v>5466</v>
      </c>
      <c r="E147" t="str">
        <v>Santa Fe</v>
      </c>
      <c r="F147">
        <v>4712</v>
      </c>
      <c r="G147">
        <v>113315</v>
      </c>
      <c r="H147" t="str">
        <v>Enero-Diciembre</v>
      </c>
      <c r="I147" t="str">
        <v>full_year</v>
      </c>
      <c r="J147">
        <v>4823.721484</v>
      </c>
      <c r="K147">
        <v>4158.319728</v>
      </c>
      <c r="L147">
        <v>0.8620563483351629</v>
      </c>
      <c r="M147">
        <v>9</v>
      </c>
      <c r="N147">
        <v>4</v>
      </c>
      <c r="O147">
        <v>-42.782372</v>
      </c>
      <c r="P147">
        <v>3.742845</v>
      </c>
      <c r="Q147">
        <v>46.525217</v>
      </c>
    </row>
    <row r="148">
      <c r="A148" t="str">
        <v>04</v>
      </c>
      <c r="B148" t="str">
        <v>San Cristóbal</v>
      </c>
      <c r="C148">
        <v>2025</v>
      </c>
      <c r="D148">
        <v>2765</v>
      </c>
      <c r="E148" t="str">
        <v>San Cristóbal</v>
      </c>
      <c r="F148">
        <v>5728</v>
      </c>
      <c r="G148">
        <v>394686</v>
      </c>
      <c r="H148" t="str">
        <v>Enero-Diciembre</v>
      </c>
      <c r="I148" t="str">
        <v>full_year</v>
      </c>
      <c r="J148">
        <v>700.556898</v>
      </c>
      <c r="K148">
        <v>1451.280258</v>
      </c>
      <c r="L148">
        <v>2.071609403254973</v>
      </c>
      <c r="M148">
        <v>15</v>
      </c>
      <c r="N148">
        <v>16</v>
      </c>
      <c r="O148">
        <v>-14.555006</v>
      </c>
      <c r="P148">
        <v>-2.799932</v>
      </c>
      <c r="Q148">
        <v>11.755074</v>
      </c>
    </row>
    <row r="149">
      <c r="A149" t="str">
        <v>05</v>
      </c>
      <c r="B149" t="str">
        <v>Usme</v>
      </c>
      <c r="C149">
        <v>2025</v>
      </c>
      <c r="D149">
        <v>2139</v>
      </c>
      <c r="E149" t="str">
        <v>Usme</v>
      </c>
      <c r="F149">
        <v>4122</v>
      </c>
      <c r="G149">
        <v>399153</v>
      </c>
      <c r="H149" t="str">
        <v>Enero-Diciembre</v>
      </c>
      <c r="I149" t="str">
        <v>full_year</v>
      </c>
      <c r="J149">
        <v>535.884736</v>
      </c>
      <c r="K149">
        <v>1032.686714</v>
      </c>
      <c r="L149">
        <v>1.9270687237026647</v>
      </c>
      <c r="M149">
        <v>17</v>
      </c>
      <c r="N149">
        <v>19</v>
      </c>
      <c r="O149">
        <v>-10.239194</v>
      </c>
      <c r="P149">
        <v>-3.893682</v>
      </c>
      <c r="Q149">
        <v>6.345513</v>
      </c>
    </row>
    <row r="150">
      <c r="A150" t="str">
        <v>06</v>
      </c>
      <c r="B150" t="str">
        <v>Tunjuelito</v>
      </c>
      <c r="C150">
        <v>2025</v>
      </c>
      <c r="D150">
        <v>2215</v>
      </c>
      <c r="E150" t="str">
        <v>Tunjuelito</v>
      </c>
      <c r="F150">
        <v>3179</v>
      </c>
      <c r="G150">
        <v>175399</v>
      </c>
      <c r="H150" t="str">
        <v>Enero-Diciembre</v>
      </c>
      <c r="I150" t="str">
        <v>full_year</v>
      </c>
      <c r="J150">
        <v>1262.835022</v>
      </c>
      <c r="K150">
        <v>1812.439067</v>
      </c>
      <c r="L150">
        <v>1.435214446952596</v>
      </c>
      <c r="M150">
        <v>16</v>
      </c>
      <c r="N150">
        <v>10</v>
      </c>
      <c r="O150">
        <v>-5.904843</v>
      </c>
      <c r="P150">
        <v>0.15753</v>
      </c>
      <c r="Q150">
        <v>6.062373</v>
      </c>
    </row>
    <row r="151">
      <c r="A151" t="str">
        <v>07</v>
      </c>
      <c r="B151" t="str">
        <v>Bosa</v>
      </c>
      <c r="C151">
        <v>2025</v>
      </c>
      <c r="D151">
        <v>4848</v>
      </c>
      <c r="E151" t="str">
        <v>Bosa</v>
      </c>
      <c r="F151">
        <v>7636</v>
      </c>
      <c r="G151">
        <v>768002</v>
      </c>
      <c r="H151" t="str">
        <v>Enero-Diciembre</v>
      </c>
      <c r="I151" t="str">
        <v>full_year</v>
      </c>
      <c r="J151">
        <v>631.248356</v>
      </c>
      <c r="K151">
        <v>994.268244</v>
      </c>
      <c r="L151">
        <v>1.575082508250825</v>
      </c>
      <c r="M151">
        <v>10</v>
      </c>
      <c r="N151">
        <v>17</v>
      </c>
      <c r="O151">
        <v>-9.315376</v>
      </c>
      <c r="P151">
        <v>2.099211</v>
      </c>
      <c r="Q151">
        <v>11.414587</v>
      </c>
    </row>
    <row r="152">
      <c r="A152" t="str">
        <v>08</v>
      </c>
      <c r="B152" t="str">
        <v>Kennedy</v>
      </c>
      <c r="C152">
        <v>2025</v>
      </c>
      <c r="D152">
        <v>9354</v>
      </c>
      <c r="E152" t="str">
        <v>Kennedy</v>
      </c>
      <c r="F152">
        <v>15677</v>
      </c>
      <c r="G152">
        <v>1103801</v>
      </c>
      <c r="H152" t="str">
        <v>Enero-Diciembre</v>
      </c>
      <c r="I152" t="str">
        <v>full_year</v>
      </c>
      <c r="J152">
        <v>847.435362</v>
      </c>
      <c r="K152">
        <v>1420.274125</v>
      </c>
      <c r="L152">
        <v>1.6759675005345307</v>
      </c>
      <c r="M152">
        <v>3</v>
      </c>
      <c r="N152">
        <v>15</v>
      </c>
      <c r="O152">
        <v>-21.795836</v>
      </c>
      <c r="P152">
        <v>-1.464488</v>
      </c>
      <c r="Q152">
        <v>20.331349</v>
      </c>
    </row>
    <row r="153">
      <c r="A153" t="str">
        <v>09</v>
      </c>
      <c r="B153" t="str">
        <v>Fontibón</v>
      </c>
      <c r="C153">
        <v>2025</v>
      </c>
      <c r="D153">
        <v>6598</v>
      </c>
      <c r="E153" t="str">
        <v>Fontibón</v>
      </c>
      <c r="F153">
        <v>7146</v>
      </c>
      <c r="G153">
        <v>385455</v>
      </c>
      <c r="H153" t="str">
        <v>Enero-Diciembre</v>
      </c>
      <c r="I153" t="str">
        <v>full_year</v>
      </c>
      <c r="J153">
        <v>1711.743264</v>
      </c>
      <c r="K153">
        <v>1853.912908</v>
      </c>
      <c r="L153">
        <v>1.083055471354956</v>
      </c>
      <c r="M153">
        <v>7</v>
      </c>
      <c r="N153">
        <v>9</v>
      </c>
      <c r="O153">
        <v>-19.389126</v>
      </c>
      <c r="P153">
        <v>3.685432</v>
      </c>
      <c r="Q153">
        <v>23.074559</v>
      </c>
    </row>
    <row r="154">
      <c r="A154" t="str">
        <v>10</v>
      </c>
      <c r="B154" t="str">
        <v>Engativá</v>
      </c>
      <c r="C154">
        <v>2025</v>
      </c>
      <c r="D154">
        <v>10209</v>
      </c>
      <c r="E154" t="str">
        <v>Engativá</v>
      </c>
      <c r="F154">
        <v>16019</v>
      </c>
      <c r="G154">
        <v>831165</v>
      </c>
      <c r="H154" t="str">
        <v>Enero-Diciembre</v>
      </c>
      <c r="I154" t="str">
        <v>full_year</v>
      </c>
      <c r="J154">
        <v>1228.275974</v>
      </c>
      <c r="K154">
        <v>1927.294821</v>
      </c>
      <c r="L154">
        <v>1.5691056910569106</v>
      </c>
      <c r="M154">
        <v>2</v>
      </c>
      <c r="N154">
        <v>11</v>
      </c>
      <c r="O154">
        <v>-17.289152</v>
      </c>
      <c r="P154">
        <v>6.565993</v>
      </c>
      <c r="Q154">
        <v>23.855144</v>
      </c>
    </row>
    <row r="155">
      <c r="A155" t="str">
        <v>11</v>
      </c>
      <c r="B155" t="str">
        <v>Suba</v>
      </c>
      <c r="C155">
        <v>2025</v>
      </c>
      <c r="D155">
        <v>10775</v>
      </c>
      <c r="E155" t="str">
        <v>Suba</v>
      </c>
      <c r="F155">
        <v>15081</v>
      </c>
      <c r="G155">
        <v>1251652</v>
      </c>
      <c r="H155" t="str">
        <v>Enero-Diciembre</v>
      </c>
      <c r="I155" t="str">
        <v>full_year</v>
      </c>
      <c r="J155">
        <v>860.862284</v>
      </c>
      <c r="K155">
        <v>1204.887621</v>
      </c>
      <c r="L155">
        <v>1.3996287703016241</v>
      </c>
      <c r="M155">
        <v>1</v>
      </c>
      <c r="N155">
        <v>14</v>
      </c>
      <c r="O155">
        <v>-16.056404</v>
      </c>
      <c r="P155">
        <v>2.808644</v>
      </c>
      <c r="Q155">
        <v>18.865048</v>
      </c>
    </row>
    <row r="156">
      <c r="A156" t="str">
        <v>12</v>
      </c>
      <c r="B156" t="str">
        <v>Barrios Unidos</v>
      </c>
      <c r="C156">
        <v>2025</v>
      </c>
      <c r="D156">
        <v>4006</v>
      </c>
      <c r="E156" t="str">
        <v>Barrios Unidos</v>
      </c>
      <c r="F156">
        <v>6113</v>
      </c>
      <c r="G156">
        <v>135332</v>
      </c>
      <c r="H156" t="str">
        <v>Enero-Diciembre</v>
      </c>
      <c r="I156" t="str">
        <v>full_year</v>
      </c>
      <c r="J156">
        <v>2960.127686</v>
      </c>
      <c r="K156">
        <v>4517.039577</v>
      </c>
      <c r="L156">
        <v>1.5259610584123815</v>
      </c>
      <c r="M156">
        <v>13</v>
      </c>
      <c r="N156">
        <v>6</v>
      </c>
      <c r="O156">
        <v>-22.077417</v>
      </c>
      <c r="P156">
        <v>13.96346</v>
      </c>
      <c r="Q156">
        <v>36.040877</v>
      </c>
    </row>
    <row r="157">
      <c r="A157" t="str">
        <v>13</v>
      </c>
      <c r="B157" t="str">
        <v>Teusaquillo</v>
      </c>
      <c r="C157">
        <v>2025</v>
      </c>
      <c r="D157">
        <v>7452</v>
      </c>
      <c r="E157" t="str">
        <v>Teusaquillo</v>
      </c>
      <c r="F157">
        <v>6795</v>
      </c>
      <c r="G157">
        <v>155083</v>
      </c>
      <c r="H157" t="str">
        <v>Enero-Diciembre</v>
      </c>
      <c r="I157" t="str">
        <v>full_year</v>
      </c>
      <c r="J157">
        <v>4805.168845</v>
      </c>
      <c r="K157">
        <v>4381.524732</v>
      </c>
      <c r="L157">
        <v>0.9118357487922706</v>
      </c>
      <c r="M157">
        <v>5</v>
      </c>
      <c r="N157">
        <v>5</v>
      </c>
      <c r="O157">
        <v>-1.232604</v>
      </c>
      <c r="P157">
        <v>17.034103</v>
      </c>
      <c r="Q157">
        <v>18.266707</v>
      </c>
    </row>
    <row r="158">
      <c r="A158" t="str">
        <v>14</v>
      </c>
      <c r="B158" t="str">
        <v>Los Mártires</v>
      </c>
      <c r="C158">
        <v>2025</v>
      </c>
      <c r="D158">
        <v>4570</v>
      </c>
      <c r="E158" t="str">
        <v>Los Mártires</v>
      </c>
      <c r="F158">
        <v>5790</v>
      </c>
      <c r="G158">
        <v>75471</v>
      </c>
      <c r="H158" t="str">
        <v>Enero-Diciembre</v>
      </c>
      <c r="I158" t="str">
        <v>full_year</v>
      </c>
      <c r="J158">
        <v>6055.306012</v>
      </c>
      <c r="K158">
        <v>7671.820964</v>
      </c>
      <c r="L158">
        <v>1.2669584245076586</v>
      </c>
      <c r="M158">
        <v>11</v>
      </c>
      <c r="N158">
        <v>2</v>
      </c>
      <c r="O158">
        <v>-60.257414</v>
      </c>
      <c r="P158">
        <v>13.373801</v>
      </c>
      <c r="Q158">
        <v>73.631214</v>
      </c>
    </row>
    <row r="159">
      <c r="A159" t="str">
        <v>15</v>
      </c>
      <c r="B159" t="str">
        <v>Antonio Nariño</v>
      </c>
      <c r="C159">
        <v>2025</v>
      </c>
      <c r="D159">
        <v>1987</v>
      </c>
      <c r="E159" t="str">
        <v>Antonio Nariño</v>
      </c>
      <c r="F159">
        <v>3590</v>
      </c>
      <c r="G159">
        <v>77392</v>
      </c>
      <c r="H159" t="str">
        <v>Enero-Diciembre</v>
      </c>
      <c r="I159" t="str">
        <v>full_year</v>
      </c>
      <c r="J159">
        <v>2567.448832</v>
      </c>
      <c r="K159">
        <v>4638.722349</v>
      </c>
      <c r="L159">
        <v>1.8067438349270257</v>
      </c>
      <c r="M159">
        <v>18</v>
      </c>
      <c r="N159">
        <v>7</v>
      </c>
      <c r="O159">
        <v>-11.452763</v>
      </c>
      <c r="P159">
        <v>9.551419</v>
      </c>
      <c r="Q159">
        <v>21.004182</v>
      </c>
    </row>
    <row r="160">
      <c r="A160" t="str">
        <v>16</v>
      </c>
      <c r="B160" t="str">
        <v>Puente Aranda</v>
      </c>
      <c r="C160">
        <v>2025</v>
      </c>
      <c r="D160">
        <v>5701</v>
      </c>
      <c r="E160" t="str">
        <v>Puente Aranda</v>
      </c>
      <c r="F160">
        <v>7601</v>
      </c>
      <c r="G160">
        <v>249519</v>
      </c>
      <c r="H160" t="str">
        <v>Enero-Diciembre</v>
      </c>
      <c r="I160" t="str">
        <v>full_year</v>
      </c>
      <c r="J160">
        <v>2284.795947</v>
      </c>
      <c r="K160">
        <v>3046.261006</v>
      </c>
      <c r="L160">
        <v>1.3332748640589371</v>
      </c>
      <c r="M160">
        <v>8</v>
      </c>
      <c r="N160">
        <v>8</v>
      </c>
      <c r="O160">
        <v>1.549697</v>
      </c>
      <c r="P160">
        <v>-7.146347</v>
      </c>
      <c r="Q160">
        <v>-8.696045</v>
      </c>
    </row>
    <row r="161">
      <c r="A161" t="str">
        <v>17</v>
      </c>
      <c r="B161" t="str">
        <v>La Candelaria</v>
      </c>
      <c r="C161">
        <v>2025</v>
      </c>
      <c r="D161">
        <v>1378</v>
      </c>
      <c r="E161" t="str">
        <v>La Candelaria</v>
      </c>
      <c r="F161">
        <v>733</v>
      </c>
      <c r="G161">
        <v>16574</v>
      </c>
      <c r="H161" t="str">
        <v>Enero-Diciembre</v>
      </c>
      <c r="I161" t="str">
        <v>full_year</v>
      </c>
      <c r="J161">
        <v>8314.227103</v>
      </c>
      <c r="K161">
        <v>4422.589598</v>
      </c>
      <c r="L161">
        <v>0.5319303338171263</v>
      </c>
      <c r="M161">
        <v>19</v>
      </c>
      <c r="N161">
        <v>1</v>
      </c>
      <c r="O161">
        <v>-23.359288</v>
      </c>
      <c r="P161">
        <v>-0.811908</v>
      </c>
      <c r="Q161">
        <v>22.54738</v>
      </c>
    </row>
    <row r="162">
      <c r="A162" t="str">
        <v>18</v>
      </c>
      <c r="B162" t="str">
        <v>Rafael Uribe Uribe</v>
      </c>
      <c r="C162">
        <v>2025</v>
      </c>
      <c r="D162">
        <v>3300</v>
      </c>
      <c r="E162" t="str">
        <v>Rafael Uribe Uribe</v>
      </c>
      <c r="F162">
        <v>6380</v>
      </c>
      <c r="G162">
        <v>375043</v>
      </c>
      <c r="H162" t="str">
        <v>Enero-Diciembre</v>
      </c>
      <c r="I162" t="str">
        <v>full_year</v>
      </c>
      <c r="J162">
        <v>879.899105</v>
      </c>
      <c r="K162">
        <v>1701.138269</v>
      </c>
      <c r="L162">
        <v>1.9333333333333333</v>
      </c>
      <c r="M162">
        <v>14</v>
      </c>
      <c r="N162">
        <v>13</v>
      </c>
      <c r="O162">
        <v>-1.610018</v>
      </c>
      <c r="P162">
        <v>-3.274712</v>
      </c>
      <c r="Q162">
        <v>-1.664694</v>
      </c>
    </row>
    <row r="163">
      <c r="A163" t="str">
        <v>19</v>
      </c>
      <c r="B163" t="str">
        <v>Ciudad Bolívar</v>
      </c>
      <c r="C163">
        <v>2025</v>
      </c>
      <c r="D163">
        <v>4243</v>
      </c>
      <c r="E163" t="str">
        <v>Ciudad Bolívar</v>
      </c>
      <c r="F163">
        <v>7187</v>
      </c>
      <c r="G163">
        <v>685039</v>
      </c>
      <c r="H163" t="str">
        <v>Enero-Diciembre</v>
      </c>
      <c r="I163" t="str">
        <v>full_year</v>
      </c>
      <c r="J163">
        <v>619.380794</v>
      </c>
      <c r="K163">
        <v>1049.137348</v>
      </c>
      <c r="L163">
        <v>1.6938486919632336</v>
      </c>
      <c r="M163">
        <v>12</v>
      </c>
      <c r="N163">
        <v>18</v>
      </c>
      <c r="O163">
        <v>-11.029566</v>
      </c>
      <c r="P163">
        <v>-1.964261</v>
      </c>
      <c r="Q163">
        <v>9.065305</v>
      </c>
    </row>
    <row r="164">
      <c r="A164" t="str">
        <v>20</v>
      </c>
      <c r="B164" t="str">
        <v>Sumapaz</v>
      </c>
      <c r="C164">
        <v>2025</v>
      </c>
      <c r="D164">
        <v>0</v>
      </c>
      <c r="E164" t="str">
        <v>Sumapaz</v>
      </c>
      <c r="F164">
        <v>8</v>
      </c>
      <c r="G164">
        <v>3338</v>
      </c>
      <c r="H164" t="str">
        <v>Enero-Diciembre</v>
      </c>
      <c r="I164" t="str">
        <v>full_year</v>
      </c>
      <c r="J164">
        <v>0</v>
      </c>
      <c r="K164">
        <v>239.66447</v>
      </c>
      <c r="M164">
        <v>20</v>
      </c>
      <c r="N164">
        <v>20</v>
      </c>
      <c r="P164">
        <v>166.666667</v>
      </c>
    </row>
  </sheetData>
  <mergeCells count="2">
    <mergeCell ref="A1:Q1"/>
    <mergeCell ref="A2:Q2"/>
  </mergeCells>
  <pageMargins left="0.7" right="0.7" top="0.75" bottom="0.75" header="0.3" footer="0.3"/>
  <ignoredErrors>
    <ignoredError numberStoredAsText="1" sqref="A1:Q16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24"/>
  <sheetViews>
    <sheetView workbookViewId="0" rightToLeft="0"/>
  </sheetViews>
  <sheetData>
    <row r="1">
      <c r="A1" t="str">
        <v>Referencia parcial 2026 · enero–mayo</v>
      </c>
    </row>
    <row r="2">
      <c r="A2" t="str">
        <v>No mezclar estas cifras con los años completos 2018–2025. Se conserva para futura actualización.</v>
      </c>
    </row>
    <row r="4">
      <c r="A4" t="str">
        <v>locality_code</v>
      </c>
      <c r="B4" t="str">
        <v>locality_name</v>
      </c>
      <c r="C4" t="str">
        <v>year</v>
      </c>
      <c r="D4" t="str">
        <v>registered_person_thefts</v>
      </c>
      <c r="E4" t="str">
        <v>period_label</v>
      </c>
      <c r="F4" t="str">
        <v>period_start_month</v>
      </c>
      <c r="G4" t="str">
        <v>period_end_month</v>
      </c>
      <c r="H4" t="str">
        <v>is_partial_year</v>
      </c>
      <c r="I4" t="str">
        <v>reported_123_theft_incidents</v>
      </c>
      <c r="J4" t="str">
        <v>population</v>
      </c>
      <c r="K4" t="str">
        <v>theft_rate_per_100k</v>
      </c>
      <c r="L4" t="str">
        <v>incident_rate_per_100k</v>
      </c>
      <c r="M4" t="str">
        <v>incidents_per_registered_theft</v>
      </c>
      <c r="N4" t="str">
        <v>count_rank</v>
      </c>
      <c r="O4" t="str">
        <v>rate_rank</v>
      </c>
      <c r="P4" t="str">
        <v>rank_difference_count_minus_rate</v>
      </c>
      <c r="Q4" t="str">
        <v>temporal_comparability</v>
      </c>
    </row>
    <row r="5">
      <c r="A5" t="str">
        <v>01</v>
      </c>
      <c r="B5" t="str">
        <v>Usaquén</v>
      </c>
      <c r="C5">
        <v>2026</v>
      </c>
      <c r="D5">
        <v>3290</v>
      </c>
      <c r="E5" t="str">
        <v>Ene-May (2025vs2026)</v>
      </c>
      <c r="F5">
        <v>1</v>
      </c>
      <c r="G5">
        <v>5</v>
      </c>
      <c r="H5" t="str">
        <v>True</v>
      </c>
      <c r="I5">
        <v>3357</v>
      </c>
      <c r="J5">
        <v>584326</v>
      </c>
      <c r="K5">
        <v>563.041864</v>
      </c>
      <c r="L5">
        <v>574.508066</v>
      </c>
      <c r="M5">
        <v>1.020365</v>
      </c>
      <c r="N5">
        <v>6</v>
      </c>
      <c r="O5">
        <v>10</v>
      </c>
      <c r="P5">
        <v>-4</v>
      </c>
      <c r="Q5" t="str">
        <v>comparable_ene_may_2025_2026</v>
      </c>
    </row>
    <row r="6">
      <c r="A6" t="str">
        <v>02</v>
      </c>
      <c r="B6" t="str">
        <v>Chapinero</v>
      </c>
      <c r="C6">
        <v>2026</v>
      </c>
      <c r="D6">
        <v>3865</v>
      </c>
      <c r="E6" t="str">
        <v>Ene-May (2025vs2026)</v>
      </c>
      <c r="F6">
        <v>1</v>
      </c>
      <c r="G6">
        <v>5</v>
      </c>
      <c r="H6" t="str">
        <v>True</v>
      </c>
      <c r="I6">
        <v>2953</v>
      </c>
      <c r="J6">
        <v>160175</v>
      </c>
      <c r="K6">
        <v>2412.985797</v>
      </c>
      <c r="L6">
        <v>1843.608553</v>
      </c>
      <c r="M6">
        <v>0.764036</v>
      </c>
      <c r="N6">
        <v>4</v>
      </c>
      <c r="O6">
        <v>4</v>
      </c>
      <c r="P6">
        <v>0</v>
      </c>
      <c r="Q6" t="str">
        <v>comparable_ene_may_2025_2026</v>
      </c>
    </row>
    <row r="7">
      <c r="A7" t="str">
        <v>03</v>
      </c>
      <c r="B7" t="str">
        <v>Santa Fe</v>
      </c>
      <c r="C7">
        <v>2026</v>
      </c>
      <c r="D7">
        <v>2970</v>
      </c>
      <c r="E7" t="str">
        <v>Ene-May (2025vs2026)</v>
      </c>
      <c r="F7">
        <v>1</v>
      </c>
      <c r="G7">
        <v>5</v>
      </c>
      <c r="H7" t="str">
        <v>True</v>
      </c>
      <c r="I7">
        <v>2015</v>
      </c>
      <c r="J7">
        <v>113327</v>
      </c>
      <c r="K7">
        <v>2620.734688</v>
      </c>
      <c r="L7">
        <v>1778.040538</v>
      </c>
      <c r="M7">
        <v>0.678451</v>
      </c>
      <c r="N7">
        <v>7</v>
      </c>
      <c r="O7">
        <v>2</v>
      </c>
      <c r="P7">
        <v>5</v>
      </c>
      <c r="Q7" t="str">
        <v>comparable_ene_may_2025_2026</v>
      </c>
    </row>
    <row r="8">
      <c r="A8" t="str">
        <v>04</v>
      </c>
      <c r="B8" t="str">
        <v>San Cristóbal</v>
      </c>
      <c r="C8">
        <v>2026</v>
      </c>
      <c r="D8">
        <v>1340</v>
      </c>
      <c r="E8" t="str">
        <v>Ene-May (2025vs2026)</v>
      </c>
      <c r="F8">
        <v>1</v>
      </c>
      <c r="G8">
        <v>5</v>
      </c>
      <c r="H8" t="str">
        <v>True</v>
      </c>
      <c r="I8">
        <v>2338</v>
      </c>
      <c r="J8">
        <v>393880</v>
      </c>
      <c r="K8">
        <v>340.205139</v>
      </c>
      <c r="L8">
        <v>593.581802</v>
      </c>
      <c r="M8">
        <v>1.744776</v>
      </c>
      <c r="N8">
        <v>15</v>
      </c>
      <c r="O8">
        <v>16</v>
      </c>
      <c r="P8">
        <v>-1</v>
      </c>
      <c r="Q8" t="str">
        <v>comparable_ene_may_2025_2026</v>
      </c>
    </row>
    <row r="9">
      <c r="A9" t="str">
        <v>05</v>
      </c>
      <c r="B9" t="str">
        <v>Usme</v>
      </c>
      <c r="C9">
        <v>2026</v>
      </c>
      <c r="D9">
        <v>894</v>
      </c>
      <c r="E9" t="str">
        <v>Ene-May (2025vs2026)</v>
      </c>
      <c r="F9">
        <v>1</v>
      </c>
      <c r="G9">
        <v>5</v>
      </c>
      <c r="H9" t="str">
        <v>True</v>
      </c>
      <c r="I9">
        <v>1484</v>
      </c>
      <c r="J9">
        <v>401629</v>
      </c>
      <c r="K9">
        <v>222.593488</v>
      </c>
      <c r="L9">
        <v>369.495231</v>
      </c>
      <c r="M9">
        <v>1.659955</v>
      </c>
      <c r="N9">
        <v>17</v>
      </c>
      <c r="O9">
        <v>19</v>
      </c>
      <c r="P9">
        <v>-2</v>
      </c>
      <c r="Q9" t="str">
        <v>comparable_ene_may_2025_2026</v>
      </c>
    </row>
    <row r="10">
      <c r="A10" t="str">
        <v>06</v>
      </c>
      <c r="B10" t="str">
        <v>Tunjuelito</v>
      </c>
      <c r="C10">
        <v>2026</v>
      </c>
      <c r="D10">
        <v>888</v>
      </c>
      <c r="E10" t="str">
        <v>Ene-May (2025vs2026)</v>
      </c>
      <c r="F10">
        <v>1</v>
      </c>
      <c r="G10">
        <v>5</v>
      </c>
      <c r="H10" t="str">
        <v>True</v>
      </c>
      <c r="I10">
        <v>1183</v>
      </c>
      <c r="J10">
        <v>174699</v>
      </c>
      <c r="K10">
        <v>508.302852</v>
      </c>
      <c r="L10">
        <v>677.164723</v>
      </c>
      <c r="M10">
        <v>1.332207</v>
      </c>
      <c r="N10">
        <v>18</v>
      </c>
      <c r="O10">
        <v>12</v>
      </c>
      <c r="P10">
        <v>6</v>
      </c>
      <c r="Q10" t="str">
        <v>comparable_ene_may_2025_2026</v>
      </c>
    </row>
    <row r="11">
      <c r="A11" t="str">
        <v>07</v>
      </c>
      <c r="B11" t="str">
        <v>Bosa</v>
      </c>
      <c r="C11">
        <v>2026</v>
      </c>
      <c r="D11">
        <v>2587</v>
      </c>
      <c r="E11" t="str">
        <v>Ene-May (2025vs2026)</v>
      </c>
      <c r="F11">
        <v>1</v>
      </c>
      <c r="G11">
        <v>5</v>
      </c>
      <c r="H11" t="str">
        <v>True</v>
      </c>
      <c r="I11">
        <v>3425</v>
      </c>
      <c r="J11">
        <v>773327</v>
      </c>
      <c r="K11">
        <v>334.528602</v>
      </c>
      <c r="L11">
        <v>442.891558</v>
      </c>
      <c r="M11">
        <v>1.323927</v>
      </c>
      <c r="N11">
        <v>10</v>
      </c>
      <c r="O11">
        <v>17</v>
      </c>
      <c r="P11">
        <v>-7</v>
      </c>
      <c r="Q11" t="str">
        <v>comparable_ene_may_2025_2026</v>
      </c>
    </row>
    <row r="12">
      <c r="A12" t="str">
        <v>08</v>
      </c>
      <c r="B12" t="str">
        <v>Kennedy</v>
      </c>
      <c r="C12">
        <v>2026</v>
      </c>
      <c r="D12">
        <v>4068</v>
      </c>
      <c r="E12" t="str">
        <v>Ene-May (2025vs2026)</v>
      </c>
      <c r="F12">
        <v>1</v>
      </c>
      <c r="G12">
        <v>5</v>
      </c>
      <c r="H12" t="str">
        <v>True</v>
      </c>
      <c r="I12">
        <v>6528</v>
      </c>
      <c r="J12">
        <v>1104934</v>
      </c>
      <c r="K12">
        <v>368.166786</v>
      </c>
      <c r="L12">
        <v>590.804519</v>
      </c>
      <c r="M12">
        <v>1.60472</v>
      </c>
      <c r="N12">
        <v>3</v>
      </c>
      <c r="O12">
        <v>15</v>
      </c>
      <c r="P12">
        <v>-12</v>
      </c>
      <c r="Q12" t="str">
        <v>comparable_ene_may_2025_2026</v>
      </c>
    </row>
    <row r="13">
      <c r="A13" t="str">
        <v>09</v>
      </c>
      <c r="B13" t="str">
        <v>Fontibón</v>
      </c>
      <c r="C13">
        <v>2026</v>
      </c>
      <c r="D13">
        <v>2901</v>
      </c>
      <c r="E13" t="str">
        <v>Ene-May (2025vs2026)</v>
      </c>
      <c r="F13">
        <v>1</v>
      </c>
      <c r="G13">
        <v>5</v>
      </c>
      <c r="H13" t="str">
        <v>True</v>
      </c>
      <c r="I13">
        <v>2957</v>
      </c>
      <c r="J13">
        <v>384256</v>
      </c>
      <c r="K13">
        <v>754.96544</v>
      </c>
      <c r="L13">
        <v>769.539057</v>
      </c>
      <c r="M13">
        <v>1.019304</v>
      </c>
      <c r="N13">
        <v>8</v>
      </c>
      <c r="O13">
        <v>9</v>
      </c>
      <c r="P13">
        <v>-1</v>
      </c>
      <c r="Q13" t="str">
        <v>comparable_ene_may_2025_2026</v>
      </c>
    </row>
    <row r="14">
      <c r="A14" t="str">
        <v>10</v>
      </c>
      <c r="B14" t="str">
        <v>Engativá</v>
      </c>
      <c r="C14">
        <v>2026</v>
      </c>
      <c r="D14">
        <v>4556</v>
      </c>
      <c r="E14" t="str">
        <v>Ene-May (2025vs2026)</v>
      </c>
      <c r="F14">
        <v>1</v>
      </c>
      <c r="G14">
        <v>5</v>
      </c>
      <c r="H14" t="str">
        <v>True</v>
      </c>
      <c r="I14">
        <v>6478</v>
      </c>
      <c r="J14">
        <v>828873</v>
      </c>
      <c r="K14">
        <v>549.662011</v>
      </c>
      <c r="L14">
        <v>781.543131</v>
      </c>
      <c r="M14">
        <v>1.421861</v>
      </c>
      <c r="N14">
        <v>2</v>
      </c>
      <c r="O14">
        <v>11</v>
      </c>
      <c r="P14">
        <v>-9</v>
      </c>
      <c r="Q14" t="str">
        <v>comparable_ene_may_2025_2026</v>
      </c>
    </row>
    <row r="15">
      <c r="A15" t="str">
        <v>11</v>
      </c>
      <c r="B15" t="str">
        <v>Suba</v>
      </c>
      <c r="C15">
        <v>2026</v>
      </c>
      <c r="D15">
        <v>4858</v>
      </c>
      <c r="E15" t="str">
        <v>Ene-May (2025vs2026)</v>
      </c>
      <c r="F15">
        <v>1</v>
      </c>
      <c r="G15">
        <v>5</v>
      </c>
      <c r="H15" t="str">
        <v>True</v>
      </c>
      <c r="I15">
        <v>6359</v>
      </c>
      <c r="J15">
        <v>1252218</v>
      </c>
      <c r="K15">
        <v>387.951619</v>
      </c>
      <c r="L15">
        <v>507.818926</v>
      </c>
      <c r="M15">
        <v>1.308975</v>
      </c>
      <c r="N15">
        <v>1</v>
      </c>
      <c r="O15">
        <v>14</v>
      </c>
      <c r="P15">
        <v>-13</v>
      </c>
      <c r="Q15" t="str">
        <v>comparable_ene_may_2025_2026</v>
      </c>
    </row>
    <row r="16">
      <c r="A16" t="str">
        <v>12</v>
      </c>
      <c r="B16" t="str">
        <v>Barrios Unidos</v>
      </c>
      <c r="C16">
        <v>2026</v>
      </c>
      <c r="D16">
        <v>1867</v>
      </c>
      <c r="E16" t="str">
        <v>Ene-May (2025vs2026)</v>
      </c>
      <c r="F16">
        <v>1</v>
      </c>
      <c r="G16">
        <v>5</v>
      </c>
      <c r="H16" t="str">
        <v>True</v>
      </c>
      <c r="I16">
        <v>2632</v>
      </c>
      <c r="J16">
        <v>134573</v>
      </c>
      <c r="K16">
        <v>1387.351103</v>
      </c>
      <c r="L16">
        <v>1955.815803</v>
      </c>
      <c r="M16">
        <v>1.409748</v>
      </c>
      <c r="N16">
        <v>12</v>
      </c>
      <c r="O16">
        <v>6</v>
      </c>
      <c r="P16">
        <v>6</v>
      </c>
      <c r="Q16" t="str">
        <v>comparable_ene_may_2025_2026</v>
      </c>
    </row>
    <row r="17">
      <c r="A17" t="str">
        <v>13</v>
      </c>
      <c r="B17" t="str">
        <v>Teusaquillo</v>
      </c>
      <c r="C17">
        <v>2026</v>
      </c>
      <c r="D17">
        <v>3404</v>
      </c>
      <c r="E17" t="str">
        <v>Ene-May (2025vs2026)</v>
      </c>
      <c r="F17">
        <v>1</v>
      </c>
      <c r="G17">
        <v>5</v>
      </c>
      <c r="H17" t="str">
        <v>True</v>
      </c>
      <c r="I17">
        <v>3486</v>
      </c>
      <c r="J17">
        <v>154663</v>
      </c>
      <c r="K17">
        <v>2200.914246</v>
      </c>
      <c r="L17">
        <v>2253.932744</v>
      </c>
      <c r="M17">
        <v>1.024089</v>
      </c>
      <c r="N17">
        <v>5</v>
      </c>
      <c r="O17">
        <v>5</v>
      </c>
      <c r="P17">
        <v>0</v>
      </c>
      <c r="Q17" t="str">
        <v>comparable_ene_may_2025_2026</v>
      </c>
    </row>
    <row r="18">
      <c r="A18" t="str">
        <v>14</v>
      </c>
      <c r="B18" t="str">
        <v>Los Mártires</v>
      </c>
      <c r="C18">
        <v>2026</v>
      </c>
      <c r="D18">
        <v>1957</v>
      </c>
      <c r="E18" t="str">
        <v>Ene-May (2025vs2026)</v>
      </c>
      <c r="F18">
        <v>1</v>
      </c>
      <c r="G18">
        <v>5</v>
      </c>
      <c r="H18" t="str">
        <v>True</v>
      </c>
      <c r="I18">
        <v>2425</v>
      </c>
      <c r="J18">
        <v>75373</v>
      </c>
      <c r="K18">
        <v>2596.420469</v>
      </c>
      <c r="L18">
        <v>3217.332467</v>
      </c>
      <c r="M18">
        <v>1.239142</v>
      </c>
      <c r="N18">
        <v>11</v>
      </c>
      <c r="O18">
        <v>3</v>
      </c>
      <c r="P18">
        <v>8</v>
      </c>
      <c r="Q18" t="str">
        <v>comparable_ene_may_2025_2026</v>
      </c>
    </row>
    <row r="19">
      <c r="A19" t="str">
        <v>15</v>
      </c>
      <c r="B19" t="str">
        <v>Antonio Nariño</v>
      </c>
      <c r="C19">
        <v>2026</v>
      </c>
      <c r="D19">
        <v>946</v>
      </c>
      <c r="E19" t="str">
        <v>Ene-May (2025vs2026)</v>
      </c>
      <c r="F19">
        <v>1</v>
      </c>
      <c r="G19">
        <v>5</v>
      </c>
      <c r="H19" t="str">
        <v>True</v>
      </c>
      <c r="I19">
        <v>1284</v>
      </c>
      <c r="J19">
        <v>76643</v>
      </c>
      <c r="K19">
        <v>1234.294065</v>
      </c>
      <c r="L19">
        <v>1675.299766</v>
      </c>
      <c r="M19">
        <v>1.357294</v>
      </c>
      <c r="N19">
        <v>16</v>
      </c>
      <c r="O19">
        <v>7</v>
      </c>
      <c r="P19">
        <v>9</v>
      </c>
      <c r="Q19" t="str">
        <v>comparable_ene_may_2025_2026</v>
      </c>
    </row>
    <row r="20">
      <c r="A20" t="str">
        <v>16</v>
      </c>
      <c r="B20" t="str">
        <v>Puente Aranda</v>
      </c>
      <c r="C20">
        <v>2026</v>
      </c>
      <c r="D20">
        <v>2685</v>
      </c>
      <c r="E20" t="str">
        <v>Ene-May (2025vs2026)</v>
      </c>
      <c r="F20">
        <v>1</v>
      </c>
      <c r="G20">
        <v>5</v>
      </c>
      <c r="H20" t="str">
        <v>True</v>
      </c>
      <c r="I20">
        <v>2939</v>
      </c>
      <c r="J20">
        <v>248758</v>
      </c>
      <c r="K20">
        <v>1079.362272</v>
      </c>
      <c r="L20">
        <v>1181.469541</v>
      </c>
      <c r="M20">
        <v>1.0946</v>
      </c>
      <c r="N20">
        <v>9</v>
      </c>
      <c r="O20">
        <v>8</v>
      </c>
      <c r="P20">
        <v>1</v>
      </c>
      <c r="Q20" t="str">
        <v>comparable_ene_may_2025_2026</v>
      </c>
    </row>
    <row r="21">
      <c r="A21" t="str">
        <v>17</v>
      </c>
      <c r="B21" t="str">
        <v>La Candelaria</v>
      </c>
      <c r="C21">
        <v>2026</v>
      </c>
      <c r="D21">
        <v>620</v>
      </c>
      <c r="E21" t="str">
        <v>Ene-May (2025vs2026)</v>
      </c>
      <c r="F21">
        <v>1</v>
      </c>
      <c r="G21">
        <v>5</v>
      </c>
      <c r="H21" t="str">
        <v>True</v>
      </c>
      <c r="I21">
        <v>305</v>
      </c>
      <c r="J21">
        <v>16449</v>
      </c>
      <c r="K21">
        <v>3769.226093</v>
      </c>
      <c r="L21">
        <v>1854.216062</v>
      </c>
      <c r="M21">
        <v>0.491935</v>
      </c>
      <c r="N21">
        <v>19</v>
      </c>
      <c r="O21">
        <v>1</v>
      </c>
      <c r="P21">
        <v>18</v>
      </c>
      <c r="Q21" t="str">
        <v>comparable_ene_may_2025_2026</v>
      </c>
    </row>
    <row r="22">
      <c r="A22" t="str">
        <v>18</v>
      </c>
      <c r="B22" t="str">
        <v>Rafael Uribe Uribe</v>
      </c>
      <c r="C22">
        <v>2026</v>
      </c>
      <c r="D22">
        <v>1517</v>
      </c>
      <c r="E22" t="str">
        <v>Ene-May (2025vs2026)</v>
      </c>
      <c r="F22">
        <v>1</v>
      </c>
      <c r="G22">
        <v>5</v>
      </c>
      <c r="H22" t="str">
        <v>True</v>
      </c>
      <c r="I22">
        <v>2675</v>
      </c>
      <c r="J22">
        <v>373665</v>
      </c>
      <c r="K22">
        <v>405.978617</v>
      </c>
      <c r="L22">
        <v>715.881873</v>
      </c>
      <c r="M22">
        <v>1.763349</v>
      </c>
      <c r="N22">
        <v>14</v>
      </c>
      <c r="O22">
        <v>13</v>
      </c>
      <c r="P22">
        <v>1</v>
      </c>
      <c r="Q22" t="str">
        <v>comparable_ene_may_2025_2026</v>
      </c>
    </row>
    <row r="23">
      <c r="A23" t="str">
        <v>19</v>
      </c>
      <c r="B23" t="str">
        <v>Ciudad Bolívar</v>
      </c>
      <c r="C23">
        <v>2026</v>
      </c>
      <c r="D23">
        <v>1693</v>
      </c>
      <c r="E23" t="str">
        <v>Ene-May (2025vs2026)</v>
      </c>
      <c r="F23">
        <v>1</v>
      </c>
      <c r="G23">
        <v>5</v>
      </c>
      <c r="H23" t="str">
        <v>True</v>
      </c>
      <c r="I23">
        <v>3151</v>
      </c>
      <c r="J23">
        <v>690843</v>
      </c>
      <c r="K23">
        <v>245.062916</v>
      </c>
      <c r="L23">
        <v>456.10942</v>
      </c>
      <c r="M23">
        <v>1.861193</v>
      </c>
      <c r="N23">
        <v>13</v>
      </c>
      <c r="O23">
        <v>18</v>
      </c>
      <c r="P23">
        <v>-5</v>
      </c>
      <c r="Q23" t="str">
        <v>comparable_ene_may_2025_2026</v>
      </c>
    </row>
    <row r="24">
      <c r="A24" t="str">
        <v>20</v>
      </c>
      <c r="B24" t="str">
        <v>Sumapaz</v>
      </c>
      <c r="C24">
        <v>2026</v>
      </c>
      <c r="D24">
        <v>0</v>
      </c>
      <c r="E24" t="str">
        <v>Ene-May (2025vs2026)</v>
      </c>
      <c r="F24">
        <v>1</v>
      </c>
      <c r="G24">
        <v>5</v>
      </c>
      <c r="H24" t="str">
        <v>True</v>
      </c>
      <c r="I24">
        <v>1</v>
      </c>
      <c r="J24">
        <v>3385</v>
      </c>
      <c r="K24">
        <v>0</v>
      </c>
      <c r="L24">
        <v>29.542097</v>
      </c>
      <c r="N24">
        <v>20</v>
      </c>
      <c r="O24">
        <v>20</v>
      </c>
      <c r="P24">
        <v>0</v>
      </c>
      <c r="Q24" t="str">
        <v>comparable_ene_may_2025_2026</v>
      </c>
    </row>
  </sheetData>
  <mergeCells count="2">
    <mergeCell ref="A1:Q1"/>
    <mergeCell ref="A2:Q2"/>
  </mergeCells>
  <pageMargins left="0.7" right="0.7" top="0.75" bottom="0.75" header="0.3" footer="0.3"/>
  <ignoredErrors>
    <ignoredError numberStoredAsText="1" sqref="A1:Q2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t="str">
        <v>Catálogos para el chatbot y el mapa</v>
      </c>
    </row>
    <row r="3">
      <c r="A3" t="str">
        <v>locality_code</v>
      </c>
      <c r="B3" t="str">
        <v>locality_name</v>
      </c>
      <c r="D3" t="str">
        <v>year</v>
      </c>
      <c r="E3" t="str">
        <v>event_type</v>
      </c>
      <c r="F3" t="str">
        <v>stolen_item_category</v>
      </c>
      <c r="G3" t="str">
        <v>modality</v>
      </c>
      <c r="H3" t="str">
        <v>weapon_type</v>
      </c>
      <c r="I3" t="str">
        <v>source</v>
      </c>
      <c r="J3" t="str">
        <v>moderation_status</v>
      </c>
      <c r="K3" t="str">
        <v>consent</v>
      </c>
    </row>
    <row r="4">
      <c r="A4" t="str">
        <v>01</v>
      </c>
      <c r="B4" t="str">
        <v>Usaquén</v>
      </c>
      <c r="D4">
        <v>2018</v>
      </c>
      <c r="E4" t="str">
        <v>hurto_consumado</v>
      </c>
      <c r="F4" t="str">
        <v>celular</v>
      </c>
      <c r="G4" t="str">
        <v>atraco</v>
      </c>
      <c r="H4" t="str">
        <v>ninguna</v>
      </c>
      <c r="I4" t="str">
        <v>whatsapp</v>
      </c>
      <c r="J4" t="str">
        <v>pending</v>
      </c>
      <c r="K4" t="str">
        <v>si</v>
      </c>
    </row>
    <row r="5">
      <c r="A5" t="str">
        <v>02</v>
      </c>
      <c r="B5" t="str">
        <v>Chapinero</v>
      </c>
      <c r="D5">
        <v>2019</v>
      </c>
      <c r="E5" t="str">
        <v>intento_hurto</v>
      </c>
      <c r="F5" t="str">
        <v>billetera_dinero</v>
      </c>
      <c r="G5" t="str">
        <v>cosquilleo</v>
      </c>
      <c r="H5" t="str">
        <v>arma_blanca</v>
      </c>
      <c r="I5" t="str">
        <v>web</v>
      </c>
      <c r="J5" t="str">
        <v>approved</v>
      </c>
      <c r="K5" t="str">
        <v>no</v>
      </c>
    </row>
    <row r="6">
      <c r="A6" t="str">
        <v>03</v>
      </c>
      <c r="B6" t="str">
        <v>Santa Fe</v>
      </c>
      <c r="D6">
        <v>2020</v>
      </c>
      <c r="F6" t="str">
        <v>bicicleta</v>
      </c>
      <c r="G6" t="str">
        <v>raponazo</v>
      </c>
      <c r="H6" t="str">
        <v>arma_fuego</v>
      </c>
      <c r="J6" t="str">
        <v>rejected</v>
      </c>
    </row>
    <row r="7">
      <c r="A7" t="str">
        <v>04</v>
      </c>
      <c r="B7" t="str">
        <v>San Cristóbal</v>
      </c>
      <c r="D7">
        <v>2021</v>
      </c>
      <c r="F7" t="str">
        <v>motocicleta</v>
      </c>
      <c r="G7" t="str">
        <v>engano</v>
      </c>
      <c r="H7" t="str">
        <v>contundente</v>
      </c>
      <c r="J7" t="str">
        <v>needs_review</v>
      </c>
    </row>
    <row r="8">
      <c r="A8" t="str">
        <v>05</v>
      </c>
      <c r="B8" t="str">
        <v>Usme</v>
      </c>
      <c r="D8">
        <v>2022</v>
      </c>
      <c r="F8" t="str">
        <v>vehiculo</v>
      </c>
      <c r="G8" t="str">
        <v>oportunidad</v>
      </c>
      <c r="H8" t="str">
        <v>otra</v>
      </c>
    </row>
    <row r="9">
      <c r="A9" t="str">
        <v>06</v>
      </c>
      <c r="B9" t="str">
        <v>Tunjuelito</v>
      </c>
      <c r="D9">
        <v>2023</v>
      </c>
      <c r="F9" t="str">
        <v>computador_tableta</v>
      </c>
      <c r="G9" t="str">
        <v>halado</v>
      </c>
      <c r="H9" t="str">
        <v>no_sabe</v>
      </c>
    </row>
    <row r="10">
      <c r="A10" t="str">
        <v>07</v>
      </c>
      <c r="B10" t="str">
        <v>Bosa</v>
      </c>
      <c r="D10">
        <v>2024</v>
      </c>
      <c r="F10" t="str">
        <v>documentos</v>
      </c>
      <c r="G10" t="str">
        <v>otra</v>
      </c>
    </row>
    <row r="11">
      <c r="A11" t="str">
        <v>08</v>
      </c>
      <c r="B11" t="str">
        <v>Kennedy</v>
      </c>
      <c r="D11">
        <v>2025</v>
      </c>
      <c r="F11" t="str">
        <v>joyas</v>
      </c>
      <c r="G11" t="str">
        <v>no_sabe</v>
      </c>
    </row>
    <row r="12">
      <c r="A12" t="str">
        <v>09</v>
      </c>
      <c r="B12" t="str">
        <v>Fontibón</v>
      </c>
      <c r="D12">
        <v>2026</v>
      </c>
      <c r="F12" t="str">
        <v>otro</v>
      </c>
    </row>
    <row r="13">
      <c r="A13" t="str">
        <v>10</v>
      </c>
      <c r="B13" t="str">
        <v>Engativá</v>
      </c>
      <c r="F13" t="str">
        <v>no_aplica</v>
      </c>
    </row>
    <row r="14">
      <c r="A14" t="str">
        <v>11</v>
      </c>
      <c r="B14" t="str">
        <v>Suba</v>
      </c>
    </row>
    <row r="15">
      <c r="A15" t="str">
        <v>12</v>
      </c>
      <c r="B15" t="str">
        <v>Barrios Unidos</v>
      </c>
    </row>
    <row r="16">
      <c r="A16" t="str">
        <v>13</v>
      </c>
      <c r="B16" t="str">
        <v>Teusaquillo</v>
      </c>
    </row>
    <row r="17">
      <c r="A17" t="str">
        <v>14</v>
      </c>
      <c r="B17" t="str">
        <v>Los Mártires</v>
      </c>
    </row>
    <row r="18">
      <c r="A18" t="str">
        <v>15</v>
      </c>
      <c r="B18" t="str">
        <v>Antonio Nariño</v>
      </c>
    </row>
    <row r="19">
      <c r="A19" t="str">
        <v>16</v>
      </c>
      <c r="B19" t="str">
        <v>Puente Aranda</v>
      </c>
    </row>
    <row r="20">
      <c r="A20" t="str">
        <v>17</v>
      </c>
      <c r="B20" t="str">
        <v>La Candelaria</v>
      </c>
    </row>
    <row r="21">
      <c r="A21" t="str">
        <v>18</v>
      </c>
      <c r="B21" t="str">
        <v>Rafael Uribe Uribe</v>
      </c>
    </row>
    <row r="22">
      <c r="A22" t="str">
        <v>19</v>
      </c>
      <c r="B22" t="str">
        <v>Ciudad Bolívar</v>
      </c>
    </row>
    <row r="23">
      <c r="A23" t="str">
        <v>20</v>
      </c>
      <c r="B23" t="str">
        <v>Sumapaz</v>
      </c>
    </row>
  </sheetData>
  <mergeCells count="1">
    <mergeCell ref="A1:K1"/>
  </mergeCells>
  <pageMargins left="0.7" right="0.7" top="0.75" bottom="0.75" header="0.3" footer="0.3"/>
  <ignoredErrors>
    <ignoredError numberStoredAsText="1" sqref="A1:K2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9"/>
  <sheetViews>
    <sheetView workbookViewId="0" rightToLeft="0"/>
  </sheetViews>
  <sheetData>
    <row r="1">
      <c r="A1" t="str">
        <v>Fuentes anuales y controles de calidad</v>
      </c>
    </row>
    <row r="3">
      <c r="A3" t="str">
        <v>Fuente</v>
      </c>
      <c r="B3" t="str">
        <v>Entidad</v>
      </c>
      <c r="C3" t="str">
        <v>Cobertura</v>
      </c>
      <c r="D3" t="str">
        <v>Uso</v>
      </c>
      <c r="E3" t="str">
        <v>URL</v>
      </c>
      <c r="F3" t="str">
        <v>Estado</v>
      </c>
    </row>
    <row r="4">
      <c r="A4" t="str">
        <v>Delito de Alto Impacto anual</v>
      </c>
      <c r="B4" t="str">
        <v>SDSCJ / SIEDCO Policía Nacional</v>
      </c>
      <c r="C4" t="str">
        <v>Enero–diciembre 2018–2025</v>
      </c>
      <c r="D4" t="str">
        <v>Hurto a personas</v>
      </c>
      <c r="E4" t="str">
        <v>https://datosabiertos.bogota.gov.co/dataset/delito-de-alto-impacto-bogota-d-c</v>
      </c>
      <c r="F4" t="str">
        <v>Oficial</v>
      </c>
    </row>
    <row r="5">
      <c r="A5" t="str">
        <v>Incidente Reportado anual</v>
      </c>
      <c r="B5" t="str">
        <v>SDSCJ / NUSE</v>
      </c>
      <c r="C5" t="str">
        <v>Enero–diciembre 2018–2025</v>
      </c>
      <c r="D5" t="str">
        <v>Incidentes 123 por hurto</v>
      </c>
      <c r="E5" t="str">
        <v>https://datosabiertos.bogota.gov.co/dataset/incidente-reportado-bogota-d-c</v>
      </c>
      <c r="F5" t="str">
        <v>Oficial</v>
      </c>
    </row>
    <row r="6">
      <c r="A6" t="str">
        <v>Población Bogotá 2005–2035</v>
      </c>
      <c r="B6" t="str">
        <v>Secretaría Distrital de Salud</v>
      </c>
      <c r="C6" t="str">
        <v>2018–2025</v>
      </c>
      <c r="D6" t="str">
        <v>Denominador de tasas</v>
      </c>
      <c r="E6" t="str">
        <v>https://datosabiertos.bogota.gov.co/dataset/piramide-poblacional-bogota-d-c</v>
      </c>
      <c r="F6" t="str">
        <v>Oficial</v>
      </c>
    </row>
    <row r="7">
      <c r="A7" t="str">
        <v>Delito de Alto Impacto parcial</v>
      </c>
      <c r="B7" t="str">
        <v>SDSCJ</v>
      </c>
      <c r="C7" t="str">
        <v>Enero–mayo 2026</v>
      </c>
      <c r="D7" t="str">
        <v>Referencia separada</v>
      </c>
      <c r="E7" t="str">
        <v>https://datosabiertos.bogota.gov.co/dataset/delito-de-alto-impacto-bogota-d-c</v>
      </c>
      <c r="F7" t="str">
        <v>Parcial</v>
      </c>
    </row>
    <row r="10">
      <c r="A10" t="str">
        <v>Control</v>
      </c>
      <c r="B10" t="str">
        <v>Valor</v>
      </c>
    </row>
    <row r="11">
      <c r="A11" t="str">
        <v>Años completos</v>
      </c>
      <c r="B11">
        <v>8</v>
      </c>
    </row>
    <row r="12">
      <c r="A12" t="str">
        <v>Localidades</v>
      </c>
      <c r="B12">
        <v>20</v>
      </c>
    </row>
    <row r="13">
      <c r="A13" t="str">
        <v>Filas integradas</v>
      </c>
      <c r="B13">
        <v>160</v>
      </c>
    </row>
    <row r="14">
      <c r="A14" t="str">
        <v>Hurtos a personas 2025</v>
      </c>
      <c r="B14">
        <v>123800</v>
      </c>
    </row>
    <row r="15">
      <c r="A15" t="str">
        <v>Incidentes 123 por hurto 2025</v>
      </c>
      <c r="B15">
        <v>139082</v>
      </c>
    </row>
    <row r="16">
      <c r="A16" t="str">
        <v>Cobertura territorial hurtos 2025</v>
      </c>
      <c r="B16">
        <v>0.8230533099999999</v>
      </c>
    </row>
    <row r="17">
      <c r="A17" t="str">
        <v>Hurtos sin localidad 2025</v>
      </c>
      <c r="B17">
        <v>21906</v>
      </c>
    </row>
    <row r="18">
      <c r="A18" t="str">
        <v>Outliers marcados y conservados</v>
      </c>
      <c r="B18">
        <v>29</v>
      </c>
    </row>
    <row r="19">
      <c r="A19" t="str">
        <v>Año anual más reciente</v>
      </c>
      <c r="B19">
        <v>2025</v>
      </c>
    </row>
  </sheetData>
  <mergeCells count="1">
    <mergeCell ref="A1:F1"/>
  </mergeCells>
  <pageMargins left="0.7" right="0.7" top="0.75" bottom="0.75" header="0.3" footer="0.3"/>
  <ignoredErrors>
    <ignoredError numberStoredAsText="1" sqref="A1:F1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4"/>
  <sheetViews>
    <sheetView workbookViewId="0" rightToLeft="0"/>
  </sheetViews>
  <sheetData>
    <row r="1">
      <c r="A1" t="str">
        <v>Tipo</v>
      </c>
      <c r="B1" t="str">
        <v>Localidad</v>
      </c>
      <c r="C1" t="str">
        <v>Hora</v>
      </c>
      <c r="D1" t="str">
        <v>Descripción</v>
      </c>
      <c r="E1" t="str">
        <v>Contacto</v>
      </c>
      <c r="F1" t="str">
        <v>Timestamp</v>
      </c>
    </row>
    <row r="2">
      <c r="A2" t="str">
        <v>Test</v>
      </c>
      <c r="B2" t="str">
        <v>Kennedy</v>
      </c>
      <c r="C2" t="str">
        <v>14:30</v>
      </c>
      <c r="D2" t="str">
        <v>Prueba desde API</v>
      </c>
      <c r="E2" t="str">
        <v>123456789</v>
      </c>
      <c r="F2" t="str">
        <v>30/6/2026, 10:38:55 a. m.</v>
      </c>
    </row>
    <row r="3">
      <c r="A3" t="str">
        <v>Hurto</v>
      </c>
      <c r="B3" t="str">
        <v>Kennedy</v>
      </c>
      <c r="C3" t="str">
        <v>15:45</v>
      </c>
      <c r="D3" t="str">
        <v>Prueba desde PowerShell</v>
      </c>
      <c r="E3" t="str">
        <v>3001234567</v>
      </c>
      <c r="F3" t="str">
        <v>30/6/2026, 10:43:52 a. m.</v>
      </c>
    </row>
    <row r="4">
      <c r="A4" t="str">
        <v>Robo</v>
      </c>
      <c r="B4" t="str">
        <v>Bogot�</v>
      </c>
      <c r="C4" t="str">
        <v>16:00</v>
      </c>
      <c r="D4" t="str">
        <v>Test desde PowerShell</v>
      </c>
      <c r="E4" t="str">
        <v>3001234567</v>
      </c>
      <c r="F4" t="str">
        <v>30/6/2026, 10:48:53 a. m.</v>
      </c>
    </row>
  </sheetData>
  <ignoredErrors>
    <ignoredError numberStoredAsText="1" sqref="A1:F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J4"/>
  <sheetViews>
    <sheetView workbookViewId="0" rightToLeft="0"/>
  </sheetViews>
  <sheetData>
    <row r="1">
      <c r="A1" t="str">
        <v>Tipo</v>
      </c>
      <c r="B1" t="str">
        <v>Localidad</v>
      </c>
      <c r="C1" t="str">
        <v>Año</v>
      </c>
      <c r="D1" t="str">
        <v>Hora</v>
      </c>
      <c r="E1" t="str">
        <v>Arma</v>
      </c>
      <c r="F1" t="str">
        <v>Artículo</v>
      </c>
      <c r="G1" t="str">
        <v>Descripción</v>
      </c>
      <c r="H1" t="str">
        <v>Fuente</v>
      </c>
      <c r="I1" t="str">
        <v>Fecha Reporte</v>
      </c>
      <c r="J1" t="str">
        <v>Modalidad</v>
      </c>
    </row>
    <row r="2">
      <c r="A2" t="str">
        <v>robo_residencia</v>
      </c>
      <c r="B2" t="str">
        <v>Chapinero</v>
      </c>
      <c r="C2" t="str">
        <v>2026</v>
      </c>
      <c r="D2" t="str">
        <v>23:45</v>
      </c>
      <c r="E2" t="str">
        <v>arma_fuego</v>
      </c>
      <c r="F2" t="str">
        <v>electrodomesticos</v>
      </c>
      <c r="G2" t="str">
        <v>Robo a residencia en zona residencial. Acceso por ventana posterior. Robaron TV y computadora</v>
      </c>
      <c r="H2" t="str">
        <v>presencial</v>
      </c>
      <c r="I2" t="str">
        <v>30/6/2026, 6:50:00 p. m.</v>
      </c>
    </row>
    <row r="3">
      <c r="A3" t="str">
        <v>intento_hurto</v>
      </c>
      <c r="B3" t="str">
        <v>Barrios Unidos</v>
      </c>
      <c r="C3" t="str">
        <v>2026</v>
      </c>
      <c r="D3" t="str">
        <v>12:13</v>
      </c>
      <c r="E3" t="str">
        <v>arma_blanca</v>
      </c>
      <c r="F3" t="str">
        <v>billetera_dinero</v>
      </c>
      <c r="G3" t="str">
        <v>...</v>
      </c>
      <c r="H3" t="str">
        <v>web</v>
      </c>
      <c r="I3" t="str">
        <v>30/6/2026, 3:32:48 p. m.</v>
      </c>
    </row>
    <row r="4">
      <c r="A4" t="str">
        <v>vehiculo</v>
      </c>
      <c r="B4" t="str">
        <v>Engativá</v>
      </c>
      <c r="C4" t="str">
        <v>2026</v>
      </c>
      <c r="D4" t="str">
        <v>12:13</v>
      </c>
      <c r="E4" t="str">
        <v>arma_blanca</v>
      </c>
      <c r="G4" t="str">
        <v>...</v>
      </c>
      <c r="H4" t="str">
        <v>whatsapp</v>
      </c>
      <c r="I4" t="str">
        <v>30/6/2026, 7:36:52 p. m.</v>
      </c>
      <c r="J4" t="str">
        <v>atraco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Instrucciones</vt:lpstr>
      <vt:lpstr>Reportes chatbot</vt:lpstr>
      <vt:lpstr>Mapa feed anual</vt:lpstr>
      <vt:lpstr>Mapa comunidad</vt:lpstr>
      <vt:lpstr>Dashboard</vt:lpstr>
      <vt:lpstr>Datos oficiales anuales</vt:lpstr>
      <vt:lpstr>2026 parcial</vt:lpstr>
      <vt:lpstr>Catalogos</vt:lpstr>
      <vt:lpstr>Fuentes y control</vt:lpstr>
      <vt:lpstr>Reportes Pepe</vt:lpstr>
      <vt:lpstr>Reportes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